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ink/ink6.xml" ContentType="application/inkml+xml"/>
  <Override PartName="/xl/ink/ink7.xml" ContentType="application/inkml+xml"/>
  <Override PartName="/xl/ink/ink8.xml" ContentType="application/inkml+xml"/>
  <Override PartName="/xl/ink/ink9.xml" ContentType="application/inkml+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defaultThemeVersion="124226"/>
  <mc:AlternateContent xmlns:mc="http://schemas.openxmlformats.org/markup-compatibility/2006">
    <mc:Choice Requires="x15">
      <x15ac:absPath xmlns:x15ac="http://schemas.microsoft.com/office/spreadsheetml/2010/11/ac" url="C:\Users\arunk\Downloads\Intelli\IntelliDataSciencePython\PythonDataScience\1PythonTrainingToUSe\Module 6_MachineLearning_And_linear_Regression\Read\"/>
    </mc:Choice>
  </mc:AlternateContent>
  <xr:revisionPtr revIDLastSave="0" documentId="13_ncr:1_{DE88A4A0-A8CC-4619-8493-B8CC9BA84A57}" xr6:coauthVersionLast="47" xr6:coauthVersionMax="47" xr10:uidLastSave="{00000000-0000-0000-0000-000000000000}"/>
  <bookViews>
    <workbookView xWindow="-110" yWindow="-110" windowWidth="19420" windowHeight="10420" activeTab="4" xr2:uid="{00000000-000D-0000-FFFF-FFFF00000000}"/>
  </bookViews>
  <sheets>
    <sheet name="Calc" sheetId="2" r:id="rId1"/>
    <sheet name="Sheet2" sheetId="6" r:id="rId2"/>
    <sheet name="Linear Regression" sheetId="1" r:id="rId3"/>
    <sheet name="Sheet3" sheetId="3" r:id="rId4"/>
    <sheet name="BasicLinear" sheetId="4" r:id="rId5"/>
    <sheet name="SalaryPredicts" sheetId="5" r:id="rId6"/>
  </sheets>
  <calcPr calcId="191029"/>
</workbook>
</file>

<file path=xl/calcChain.xml><?xml version="1.0" encoding="utf-8"?>
<calcChain xmlns="http://schemas.openxmlformats.org/spreadsheetml/2006/main">
  <c r="F166" i="4" l="1"/>
  <c r="E166" i="4"/>
  <c r="H165" i="4"/>
  <c r="G165" i="4"/>
  <c r="H164" i="4"/>
  <c r="G164" i="4"/>
  <c r="H163" i="4"/>
  <c r="G163" i="4"/>
  <c r="H162" i="4"/>
  <c r="G162" i="4"/>
  <c r="H161" i="4"/>
  <c r="G161" i="4"/>
  <c r="H160" i="4"/>
  <c r="G160" i="4"/>
  <c r="H166" i="4" l="1"/>
  <c r="C13" i="4"/>
  <c r="F8" i="4" s="1"/>
  <c r="F12" i="4" l="1"/>
  <c r="F9" i="4"/>
  <c r="F13" i="4" s="1"/>
  <c r="F7" i="4"/>
  <c r="F11" i="4"/>
  <c r="F10" i="4"/>
  <c r="E12" i="4"/>
  <c r="E11" i="4"/>
  <c r="E10" i="4"/>
  <c r="E9" i="4"/>
  <c r="E8" i="4"/>
  <c r="E7" i="4"/>
  <c r="S54" i="2"/>
  <c r="U40" i="2"/>
  <c r="U41" i="2"/>
  <c r="U42" i="2"/>
  <c r="U43" i="2"/>
  <c r="U44" i="2"/>
  <c r="U45" i="2"/>
  <c r="U46" i="2"/>
  <c r="U47" i="2"/>
  <c r="U39" i="2"/>
  <c r="U48" i="2" s="1"/>
  <c r="S48" i="2"/>
  <c r="S40" i="2"/>
  <c r="S41" i="2"/>
  <c r="S42" i="2"/>
  <c r="S43" i="2"/>
  <c r="S44" i="2"/>
  <c r="S45" i="2"/>
  <c r="S46" i="2"/>
  <c r="S47" i="2"/>
  <c r="S39" i="2"/>
  <c r="P47" i="2"/>
  <c r="P46" i="2"/>
  <c r="P45" i="2"/>
  <c r="P44" i="2"/>
  <c r="P43" i="2"/>
  <c r="P42" i="2"/>
  <c r="P41" i="2"/>
  <c r="P40" i="2"/>
  <c r="P39" i="2"/>
  <c r="J46" i="2" l="1"/>
  <c r="J45" i="2"/>
  <c r="J44" i="2"/>
  <c r="J43" i="2"/>
  <c r="J42" i="2"/>
  <c r="J41" i="2"/>
  <c r="J40" i="2"/>
  <c r="J39" i="2"/>
  <c r="G40" i="2"/>
  <c r="G41" i="2"/>
  <c r="G42" i="2"/>
  <c r="G43" i="2"/>
  <c r="G44" i="2"/>
  <c r="G45" i="2"/>
  <c r="G46" i="2"/>
  <c r="G47" i="2"/>
  <c r="J47" i="2" s="1"/>
  <c r="G39" i="2"/>
  <c r="E41" i="2"/>
  <c r="E42" i="2"/>
  <c r="E43" i="2"/>
  <c r="E44" i="2"/>
  <c r="E45" i="2"/>
  <c r="E46" i="2"/>
  <c r="E47" i="2"/>
  <c r="E40" i="2"/>
  <c r="E39" i="2"/>
  <c r="I47" i="2"/>
  <c r="H47" i="2"/>
  <c r="I46" i="2"/>
  <c r="H46" i="2"/>
  <c r="I45" i="2"/>
  <c r="H45" i="2"/>
  <c r="I44" i="2"/>
  <c r="H44" i="2"/>
  <c r="I43" i="2"/>
  <c r="H43" i="2"/>
  <c r="I42" i="2"/>
  <c r="H42" i="2"/>
  <c r="I41" i="2"/>
  <c r="H41" i="2"/>
  <c r="I40" i="2"/>
  <c r="H40" i="2"/>
  <c r="I39" i="2"/>
  <c r="H39" i="2"/>
  <c r="K25" i="2"/>
  <c r="K26" i="2"/>
  <c r="K27" i="2"/>
  <c r="J26" i="2"/>
  <c r="I22" i="2"/>
  <c r="I23" i="2"/>
  <c r="I24" i="2"/>
  <c r="I25" i="2"/>
  <c r="J25" i="2" s="1"/>
  <c r="I26" i="2"/>
  <c r="I27" i="2"/>
  <c r="I28" i="2"/>
  <c r="I29" i="2"/>
  <c r="I21" i="2"/>
  <c r="H22" i="2"/>
  <c r="K22" i="2" s="1"/>
  <c r="H23" i="2"/>
  <c r="K23" i="2" s="1"/>
  <c r="H24" i="2"/>
  <c r="J24" i="2" s="1"/>
  <c r="H25" i="2"/>
  <c r="H26" i="2"/>
  <c r="H27" i="2"/>
  <c r="J27" i="2" s="1"/>
  <c r="H28" i="2"/>
  <c r="K28" i="2" s="1"/>
  <c r="H29" i="2"/>
  <c r="K29" i="2" s="1"/>
  <c r="H21" i="2"/>
  <c r="K21" i="2" s="1"/>
  <c r="C15" i="2"/>
  <c r="G11" i="2"/>
  <c r="E5" i="2"/>
  <c r="G5" i="2" s="1"/>
  <c r="E6" i="2"/>
  <c r="G6" i="2" s="1"/>
  <c r="E7" i="2"/>
  <c r="G7" i="2" s="1"/>
  <c r="E8" i="2"/>
  <c r="G8" i="2" s="1"/>
  <c r="E9" i="2"/>
  <c r="G9" i="2" s="1"/>
  <c r="E10" i="2"/>
  <c r="G10" i="2" s="1"/>
  <c r="E11" i="2"/>
  <c r="E12" i="2"/>
  <c r="G12" i="2" s="1"/>
  <c r="E4" i="2"/>
  <c r="G4" i="2" s="1"/>
  <c r="J49" i="2" l="1"/>
  <c r="J23" i="2"/>
  <c r="K24" i="2"/>
  <c r="K31" i="2" s="1"/>
  <c r="J21" i="2"/>
  <c r="J22" i="2"/>
  <c r="J29" i="2"/>
  <c r="J28" i="2"/>
  <c r="G13" i="2"/>
  <c r="N39" i="1"/>
  <c r="I39" i="1"/>
  <c r="J31" i="2" l="1"/>
  <c r="E12" i="1"/>
  <c r="D12" i="1"/>
</calcChain>
</file>

<file path=xl/sharedStrings.xml><?xml version="1.0" encoding="utf-8"?>
<sst xmlns="http://schemas.openxmlformats.org/spreadsheetml/2006/main" count="278" uniqueCount="186">
  <si>
    <t>x</t>
  </si>
  <si>
    <t>y</t>
  </si>
  <si>
    <t>#15/5</t>
  </si>
  <si>
    <t>#18/5</t>
  </si>
  <si>
    <t>Total</t>
  </si>
  <si>
    <t>Mean</t>
  </si>
  <si>
    <t></t>
  </si>
  <si>
    <t>x-</t>
  </si>
  <si>
    <t>y-</t>
  </si>
  <si>
    <t>1-3</t>
  </si>
  <si>
    <t>2-3</t>
  </si>
  <si>
    <t>3-3</t>
  </si>
  <si>
    <t>4-3</t>
  </si>
  <si>
    <t>5-3</t>
  </si>
  <si>
    <t>4-3.6</t>
  </si>
  <si>
    <t>3-3.6</t>
  </si>
  <si>
    <t>2-3.6</t>
  </si>
  <si>
    <t>5-3.6</t>
  </si>
  <si>
    <t>(x-)(y-)</t>
  </si>
  <si>
    <t>(x-)^2</t>
  </si>
  <si>
    <t>y_p</t>
  </si>
  <si>
    <t>?</t>
  </si>
  <si>
    <t>Find the equation fo the Regression Line</t>
  </si>
  <si>
    <t>Find the Predicted Values using the equation</t>
  </si>
  <si>
    <t>Find Goodness of Fit  - R2  (R Square)</t>
  </si>
  <si>
    <t>y_p-</t>
  </si>
  <si>
    <t>3.2-3.6</t>
  </si>
  <si>
    <t>3.1-3.6</t>
  </si>
  <si>
    <t>2.9-3.6</t>
  </si>
  <si>
    <t>2.8-3.6</t>
  </si>
  <si>
    <t>(y_p-)^2</t>
  </si>
  <si>
    <t>(y-)^2</t>
  </si>
  <si>
    <t>$ Salary</t>
  </si>
  <si>
    <t>Exp</t>
  </si>
  <si>
    <t>Error</t>
  </si>
  <si>
    <r>
      <t>y</t>
    </r>
    <r>
      <rPr>
        <sz val="11"/>
        <color theme="1"/>
        <rFont val="Calibri"/>
        <family val="2"/>
      </rPr>
      <t>̄</t>
    </r>
    <r>
      <rPr>
        <sz val="11"/>
        <color theme="1"/>
        <rFont val="Arial Unicode"/>
      </rPr>
      <t>=45.444</t>
    </r>
  </si>
  <si>
    <t>15-45.444=-30.44</t>
  </si>
  <si>
    <t>28-45.444=-17.44</t>
  </si>
  <si>
    <t>8-45.444=-37.44</t>
  </si>
  <si>
    <t>Error^2</t>
  </si>
  <si>
    <t>42-45.444=-3.44</t>
  </si>
  <si>
    <t>64-45.444=18.56</t>
  </si>
  <si>
    <t>50-45.444=4.56</t>
  </si>
  <si>
    <t>90-45.444=44.56</t>
  </si>
  <si>
    <t>58-45.444=12.56</t>
  </si>
  <si>
    <t>54-45.444=8.56</t>
  </si>
  <si>
    <t>SSE=5226.22</t>
  </si>
  <si>
    <t>E=y-ȳ</t>
  </si>
  <si>
    <t>Error Sqaure</t>
  </si>
  <si>
    <t>̄̄</t>
  </si>
  <si>
    <t>x-x̄</t>
  </si>
  <si>
    <r>
      <rPr>
        <sz val="11"/>
        <color theme="1"/>
        <rFont val="Calibri"/>
        <family val="2"/>
      </rPr>
      <t>x̄</t>
    </r>
    <r>
      <rPr>
        <sz val="11"/>
        <color theme="1"/>
        <rFont val="Arial Unicode"/>
      </rPr>
      <t>=7.56</t>
    </r>
  </si>
  <si>
    <t>2-7.56=-5.56</t>
  </si>
  <si>
    <t>3-7.56=-4.56</t>
  </si>
  <si>
    <t>5-7.56=-2.56</t>
  </si>
  <si>
    <t>13-7.56=5.44</t>
  </si>
  <si>
    <t>8-7.56=0.44</t>
  </si>
  <si>
    <t>16-7.56=8.44</t>
  </si>
  <si>
    <t>11-7.56=3.44</t>
  </si>
  <si>
    <t>1-7.56=-6.56</t>
  </si>
  <si>
    <t>9-7.56=1.44</t>
  </si>
  <si>
    <t>y-ȳ</t>
  </si>
  <si>
    <t>(x-x̄)(y-ȳ)</t>
  </si>
  <si>
    <t>(x-x̄)^2</t>
  </si>
  <si>
    <t>OLS</t>
  </si>
  <si>
    <t>Let us calculate SSE again by using our output equation.</t>
  </si>
  <si>
    <t>ŷ=mx+b</t>
  </si>
  <si>
    <t>ŷ=4.79x+9.18</t>
  </si>
  <si>
    <t>Predicted (ŷ)</t>
  </si>
  <si>
    <t>y-ŷ</t>
  </si>
  <si>
    <t>SSE</t>
  </si>
  <si>
    <t>(y-ŷ)^2</t>
  </si>
  <si>
    <t>R Square</t>
  </si>
  <si>
    <r>
      <t>y</t>
    </r>
    <r>
      <rPr>
        <sz val="11"/>
        <color theme="1"/>
        <rFont val="Calibri"/>
        <family val="2"/>
      </rPr>
      <t>̄</t>
    </r>
    <r>
      <rPr>
        <sz val="11"/>
        <color theme="1"/>
        <rFont val="Arial Unicode"/>
      </rPr>
      <t>=45.44</t>
    </r>
  </si>
  <si>
    <t>ŷ-ȳ</t>
  </si>
  <si>
    <t>(y-ȳ)^2</t>
  </si>
  <si>
    <t>15-45.44=-30.44</t>
  </si>
  <si>
    <t>28-45.44=-17.44</t>
  </si>
  <si>
    <t>42-45.44=-3.44</t>
  </si>
  <si>
    <t>64-45.44=18.56</t>
  </si>
  <si>
    <t>50-45.44=4.56</t>
  </si>
  <si>
    <t>90-45.44=44.56</t>
  </si>
  <si>
    <t>58-45.44=12.56</t>
  </si>
  <si>
    <t>8-45.44=-37.44</t>
  </si>
  <si>
    <t>54-45.44=8.56</t>
  </si>
  <si>
    <t>23.55-45.44=-21.89</t>
  </si>
  <si>
    <t>33.13-45.44=-12.31</t>
  </si>
  <si>
    <t>71.45-45.44=26.01</t>
  </si>
  <si>
    <t>18.76-45.44=-26.68</t>
  </si>
  <si>
    <t>50.00-45.44=2.06</t>
  </si>
  <si>
    <t>90.00-45.44=40.38</t>
  </si>
  <si>
    <t>61.87-45.44=16.43</t>
  </si>
  <si>
    <t>13.97-45.44=-31.47</t>
  </si>
  <si>
    <t>52.29-45.44=6.65</t>
  </si>
  <si>
    <t>(ŷ-ȳ)^2</t>
  </si>
  <si>
    <t>R Sqaure</t>
  </si>
  <si>
    <t>Predicted</t>
  </si>
  <si>
    <t>Actual</t>
  </si>
  <si>
    <t>SrNo</t>
  </si>
  <si>
    <t>Amout</t>
  </si>
  <si>
    <t>How to predict what the Amount will be for Meal 7?</t>
  </si>
  <si>
    <t>We will use the Mean?</t>
  </si>
  <si>
    <t>What is the best fit line here?</t>
  </si>
  <si>
    <t>It will be 10 Dollars</t>
  </si>
  <si>
    <t>Simple Linear Regression has to do with 2 variables.</t>
  </si>
  <si>
    <t>Now if we do not have any other variable, we have only 1 variable then the prediction is the mean of all the variables.</t>
  </si>
  <si>
    <t>The Variability of all the values can be explained by the AMOUNTS themselves because that is alll that we have.</t>
  </si>
  <si>
    <t>BEST FIT</t>
  </si>
  <si>
    <t>GOODNESS OF THE FIT</t>
  </si>
  <si>
    <t>The best fit line is mean</t>
  </si>
  <si>
    <t>we need to find how good is our line</t>
  </si>
  <si>
    <t>We need to find the standard deviation from the mean</t>
  </si>
  <si>
    <t>Goodness of Fit</t>
  </si>
  <si>
    <t>Residuals</t>
  </si>
  <si>
    <t>Errors</t>
  </si>
  <si>
    <t>(Errors)^2</t>
  </si>
  <si>
    <t>we can see the the values are negative or difference</t>
  </si>
  <si>
    <t>Sum of Squared Errors(SSE)</t>
  </si>
  <si>
    <t>We have TIP and AMOUNT.</t>
  </si>
  <si>
    <t>The goal of simple of linear regression is to create a a linear model that minimizes the sum of squares of resdiuals(errors).</t>
  </si>
  <si>
    <t>if our model is significant, it will eat up much of the raw SSE.</t>
  </si>
  <si>
    <t>when we introduce the independent variable for BILL AMOUNT.</t>
  </si>
  <si>
    <t>we will introduce a Linear Regression line that will help us reduce the SSE.</t>
  </si>
  <si>
    <t xml:space="preserve">We are comparing our Simple Linear Regression with the best fit line. </t>
  </si>
  <si>
    <t>Simple Linear Regression is comparision of two models.</t>
  </si>
  <si>
    <t>*******************</t>
  </si>
  <si>
    <t>Bivariate Statistics - 2 variables</t>
  </si>
  <si>
    <t>**************</t>
  </si>
  <si>
    <t>Simple Linear Regression is  part of Bivariate Statistics</t>
  </si>
  <si>
    <t>ANOVA + CORRELATION = SL</t>
  </si>
  <si>
    <t>The value of one variable, isa  function of the other variable.</t>
  </si>
  <si>
    <t>the value of y is a function of x.</t>
  </si>
  <si>
    <t>y=f(x)</t>
  </si>
  <si>
    <t>the value of dependent variable (y) is a funciont of the indenpendent variable (x)</t>
  </si>
  <si>
    <t>Basics of Algebra:</t>
  </si>
  <si>
    <t>Alebra of lines</t>
  </si>
  <si>
    <t>Slope - intercept of line</t>
  </si>
  <si>
    <t>y = mx +b</t>
  </si>
  <si>
    <t>x= random varibale</t>
  </si>
  <si>
    <t>m=slope= rise/run</t>
  </si>
  <si>
    <t>b is the intercept, the crosses the y-axis</t>
  </si>
  <si>
    <t>the y intercept is where x =0</t>
  </si>
  <si>
    <t>cor</t>
  </si>
  <si>
    <t>y = 2x + 3</t>
  </si>
  <si>
    <t>y = f(x)</t>
  </si>
  <si>
    <t>How to we bring draw a line that is having the least distance?</t>
  </si>
  <si>
    <t>Draw a scatter plot</t>
  </si>
  <si>
    <t>Draw a visual line that overs all the data points</t>
  </si>
  <si>
    <t>if the data is having some pattern then you can draw a line</t>
  </si>
  <si>
    <t>if the data is not having any pattern , it is like a BLOB of data then we need to stop</t>
  </si>
  <si>
    <t>Correlation coefficient</t>
  </si>
  <si>
    <t>if the correlation coefficent is .86 then it means there is a strong correlation</t>
  </si>
  <si>
    <t>Descriptive Statistics, or the CENTROID, Central Tendency</t>
  </si>
  <si>
    <t>we take the mean of the X and Y variables and we get  a centroid.</t>
  </si>
  <si>
    <t>if we plot a line the line has to pass through the centroid.</t>
  </si>
  <si>
    <t>the Best fit regression line should pass through the centroid of the data.</t>
  </si>
  <si>
    <t>MEAN of X and Mean of Y</t>
  </si>
  <si>
    <t>Calculations</t>
  </si>
  <si>
    <t xml:space="preserve">y = mx +c </t>
  </si>
  <si>
    <t xml:space="preserve">m = slope </t>
  </si>
  <si>
    <t>(x- xmean) (y- ymean)/(x-xmean)^2</t>
  </si>
  <si>
    <t>c  = intercept</t>
  </si>
  <si>
    <t>c = y -mx</t>
  </si>
  <si>
    <t>the Amount Deviations from the Mean</t>
  </si>
  <si>
    <t>what is the meaning of this equation = y = 2x+3</t>
  </si>
  <si>
    <t>for every value of 1 of x, the value of Y will increase by 2</t>
  </si>
  <si>
    <t>The +3 intercept means if the bill amount is x=0 , then the value of Y is 3.</t>
  </si>
  <si>
    <t>sometimes value of intercept can be negative also -3.</t>
  </si>
  <si>
    <t xml:space="preserve">if you see technically some times the intercept my have not real meaning in real life. </t>
  </si>
  <si>
    <t>is this the Regression model any GOOD?</t>
  </si>
  <si>
    <t>this is the GOODNESS OF FIT</t>
  </si>
  <si>
    <t>fit  and the COEFFIENCET OF DETERMINATOIN</t>
  </si>
  <si>
    <t>When you have only the depedent variables the sum of squares is because of the ERRORS…SSE (Sum of Squares of Errors). The SSE is equal to the SST (Sum of Squares Total)</t>
  </si>
  <si>
    <t>SSE = 120</t>
  </si>
  <si>
    <t>SSE = SST</t>
  </si>
  <si>
    <t>SST = 120</t>
  </si>
  <si>
    <t>For only 1 variable Salary Y</t>
  </si>
  <si>
    <t>Experience</t>
  </si>
  <si>
    <t>Salary</t>
  </si>
  <si>
    <t>Y</t>
  </si>
  <si>
    <t>X</t>
  </si>
  <si>
    <t>Now For only 2 variables Experience X and Salary Y</t>
  </si>
  <si>
    <t>Now the SUM of Squared Error is reduced now when we use X and Y.</t>
  </si>
  <si>
    <t>The difference between SSE and SST is significantly Reduced because of Regression (SSR)</t>
  </si>
  <si>
    <t>SST -SSE= SSR</t>
  </si>
  <si>
    <t>Comparision of Sum of Square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</si>
</sst>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theme="1"/>
      <name val="Calibri"/>
      <family val="2"/>
      <scheme val="minor"/>
    </font>
    <font>
      <sz val="24"/>
      <color rgb="FF000000"/>
      <name val="Calibri"/>
      <family val="2"/>
    </font>
    <font>
      <sz val="24"/>
      <color rgb="FF000000"/>
      <name val="Calibri"/>
      <family val="2"/>
    </font>
    <font>
      <sz val="24"/>
      <color rgb="FF000000"/>
      <name val="MS Reference Sans Serif"/>
      <family val="2"/>
    </font>
    <font>
      <sz val="18"/>
      <color theme="1"/>
      <name val="Calibri"/>
      <family val="2"/>
      <scheme val="minor"/>
    </font>
    <font>
      <sz val="20"/>
      <color rgb="FF000000"/>
      <name val="MS Reference Sans Serif"/>
      <family val="2"/>
    </font>
    <font>
      <sz val="18"/>
      <color rgb="FF000000"/>
      <name val="MS Reference Sans Serif"/>
      <family val="2"/>
    </font>
    <font>
      <sz val="14"/>
      <color rgb="FF000000"/>
      <name val="MS Reference Sans Serif"/>
      <family val="2"/>
    </font>
    <font>
      <sz val="11"/>
      <color rgb="FF000000"/>
      <name val="MS Reference Sans Serif"/>
      <family val="2"/>
    </font>
    <font>
      <sz val="11"/>
      <color theme="1"/>
      <name val="Arial Unicode"/>
    </font>
    <font>
      <sz val="11"/>
      <color theme="1"/>
      <name val="Calibri"/>
      <family val="2"/>
    </font>
    <font>
      <sz val="8"/>
      <name val="Calibri"/>
      <family val="2"/>
      <scheme val="minor"/>
    </font>
    <font>
      <sz val="11"/>
      <color theme="1"/>
      <name val="Arial Unicode"/>
      <family val="2"/>
    </font>
    <font>
      <sz val="11"/>
      <color theme="1"/>
      <name val="Georgia"/>
      <family val="1"/>
    </font>
  </fonts>
  <fills count="10">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79998168889431442"/>
        <bgColor indexed="64"/>
      </patternFill>
    </fill>
  </fills>
  <borders count="24">
    <border>
      <left/>
      <right/>
      <top/>
      <bottom/>
      <diagonal/>
    </border>
    <border>
      <left style="medium">
        <color rgb="FF000000"/>
      </left>
      <right style="medium">
        <color rgb="FF000000"/>
      </right>
      <top style="medium">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rgb="FF000000"/>
      </right>
      <top style="medium">
        <color rgb="FF000000"/>
      </top>
      <bottom style="medium">
        <color rgb="FF000000"/>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diagonal/>
    </border>
  </borders>
  <cellStyleXfs count="1">
    <xf numFmtId="0" fontId="0" fillId="0" borderId="0"/>
  </cellStyleXfs>
  <cellXfs count="97">
    <xf numFmtId="0" fontId="0" fillId="0" borderId="0" xfId="0"/>
    <xf numFmtId="0" fontId="1" fillId="2" borderId="1" xfId="0" applyFont="1" applyFill="1" applyBorder="1" applyAlignment="1">
      <alignment horizontal="center" wrapText="1" readingOrder="1"/>
    </xf>
    <xf numFmtId="0" fontId="1" fillId="3" borderId="1" xfId="0" applyFont="1" applyFill="1" applyBorder="1" applyAlignment="1">
      <alignment horizontal="center" wrapText="1" readingOrder="1"/>
    </xf>
    <xf numFmtId="0" fontId="3" fillId="2" borderId="1" xfId="0" applyFont="1" applyFill="1" applyBorder="1" applyAlignment="1">
      <alignment horizontal="center" wrapText="1" readingOrder="1"/>
    </xf>
    <xf numFmtId="49" fontId="2" fillId="3" borderId="1" xfId="0" applyNumberFormat="1" applyFont="1" applyFill="1" applyBorder="1" applyAlignment="1">
      <alignment horizontal="center" wrapText="1" readingOrder="1"/>
    </xf>
    <xf numFmtId="0" fontId="2" fillId="3" borderId="1" xfId="0" applyFont="1" applyFill="1" applyBorder="1" applyAlignment="1">
      <alignment horizontal="center" wrapText="1" readingOrder="1"/>
    </xf>
    <xf numFmtId="164" fontId="1" fillId="3" borderId="1" xfId="0" applyNumberFormat="1" applyFont="1" applyFill="1" applyBorder="1" applyAlignment="1">
      <alignment horizontal="center" wrapText="1" readingOrder="1"/>
    </xf>
    <xf numFmtId="0" fontId="0" fillId="0" borderId="2" xfId="0" applyBorder="1"/>
    <xf numFmtId="0" fontId="0" fillId="0" borderId="3" xfId="0" applyBorder="1"/>
    <xf numFmtId="0" fontId="4" fillId="2" borderId="3" xfId="0" applyFont="1" applyFill="1" applyBorder="1"/>
    <xf numFmtId="0" fontId="0" fillId="2" borderId="3" xfId="0" applyFill="1" applyBorder="1"/>
    <xf numFmtId="0" fontId="0" fillId="0" borderId="4" xfId="0" applyBorder="1"/>
    <xf numFmtId="0" fontId="0" fillId="0" borderId="5" xfId="0" applyBorder="1"/>
    <xf numFmtId="0" fontId="0" fillId="0" borderId="0" xfId="0" applyBorder="1"/>
    <xf numFmtId="0" fontId="0" fillId="0" borderId="6" xfId="0" applyBorder="1"/>
    <xf numFmtId="2" fontId="0" fillId="0" borderId="0" xfId="0" applyNumberFormat="1" applyBorder="1"/>
    <xf numFmtId="0" fontId="0" fillId="0" borderId="7" xfId="0" applyBorder="1"/>
    <xf numFmtId="0" fontId="0" fillId="0" borderId="8" xfId="0" applyBorder="1"/>
    <xf numFmtId="0" fontId="0" fillId="0" borderId="9" xfId="0" applyBorder="1"/>
    <xf numFmtId="0" fontId="6" fillId="2" borderId="1" xfId="0" applyFont="1" applyFill="1" applyBorder="1" applyAlignment="1">
      <alignment horizontal="center" wrapText="1" readingOrder="1"/>
    </xf>
    <xf numFmtId="0" fontId="1" fillId="2" borderId="10" xfId="0" applyFont="1" applyFill="1" applyBorder="1" applyAlignment="1">
      <alignment horizontal="center" wrapText="1" readingOrder="1"/>
    </xf>
    <xf numFmtId="0" fontId="1" fillId="3" borderId="10" xfId="0" applyFont="1" applyFill="1" applyBorder="1" applyAlignment="1">
      <alignment horizontal="center" wrapText="1" readingOrder="1"/>
    </xf>
    <xf numFmtId="0" fontId="7" fillId="2" borderId="11" xfId="0" applyFont="1" applyFill="1" applyBorder="1" applyAlignment="1">
      <alignment wrapText="1" readingOrder="1"/>
    </xf>
    <xf numFmtId="0" fontId="8" fillId="2" borderId="11" xfId="0" applyFont="1" applyFill="1" applyBorder="1" applyAlignment="1">
      <alignment wrapText="1" readingOrder="1"/>
    </xf>
    <xf numFmtId="0" fontId="2" fillId="3" borderId="11" xfId="0" applyFont="1" applyFill="1" applyBorder="1" applyAlignment="1">
      <alignment horizontal="center" wrapText="1" readingOrder="1"/>
    </xf>
    <xf numFmtId="0" fontId="7" fillId="2" borderId="11" xfId="0" applyFont="1" applyFill="1" applyBorder="1" applyAlignment="1">
      <alignment horizontal="center" wrapText="1" readingOrder="1"/>
    </xf>
    <xf numFmtId="0" fontId="8" fillId="2" borderId="11" xfId="0" applyFont="1" applyFill="1" applyBorder="1" applyAlignment="1">
      <alignment horizontal="center" wrapText="1" readingOrder="1"/>
    </xf>
    <xf numFmtId="0" fontId="2" fillId="4" borderId="1" xfId="0" applyFont="1" applyFill="1" applyBorder="1" applyAlignment="1">
      <alignment horizontal="center" wrapText="1" readingOrder="1"/>
    </xf>
    <xf numFmtId="0" fontId="5" fillId="4" borderId="1" xfId="0" applyFont="1" applyFill="1" applyBorder="1" applyAlignment="1">
      <alignment horizontal="center" wrapText="1" readingOrder="1"/>
    </xf>
    <xf numFmtId="0" fontId="0" fillId="0" borderId="12"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5" borderId="13" xfId="0" applyFill="1" applyBorder="1" applyAlignment="1">
      <alignment horizontal="center"/>
    </xf>
    <xf numFmtId="0" fontId="0" fillId="5" borderId="14" xfId="0" applyFill="1" applyBorder="1" applyAlignment="1">
      <alignment horizontal="center"/>
    </xf>
    <xf numFmtId="0" fontId="0" fillId="0" borderId="0" xfId="0" applyBorder="1" applyAlignment="1">
      <alignment horizontal="center"/>
    </xf>
    <xf numFmtId="0" fontId="9" fillId="0" borderId="0" xfId="0" applyFont="1" applyBorder="1" applyAlignment="1">
      <alignment horizontal="center"/>
    </xf>
    <xf numFmtId="2" fontId="0" fillId="0" borderId="0" xfId="0" applyNumberFormat="1"/>
    <xf numFmtId="0" fontId="0" fillId="5" borderId="12" xfId="0" applyFill="1" applyBorder="1" applyAlignment="1">
      <alignment horizontal="center"/>
    </xf>
    <xf numFmtId="2" fontId="0" fillId="0" borderId="12" xfId="0" applyNumberFormat="1" applyBorder="1"/>
    <xf numFmtId="0" fontId="0" fillId="0" borderId="12" xfId="0" applyBorder="1"/>
    <xf numFmtId="2" fontId="0" fillId="0" borderId="19" xfId="0" applyNumberFormat="1" applyBorder="1"/>
    <xf numFmtId="2" fontId="0" fillId="0" borderId="16" xfId="0" applyNumberFormat="1" applyBorder="1"/>
    <xf numFmtId="0" fontId="0" fillId="0" borderId="20" xfId="0" applyBorder="1" applyAlignment="1">
      <alignment horizontal="center"/>
    </xf>
    <xf numFmtId="2" fontId="0" fillId="0" borderId="20" xfId="0" applyNumberFormat="1" applyBorder="1"/>
    <xf numFmtId="2" fontId="0" fillId="0" borderId="18" xfId="0" applyNumberFormat="1" applyBorder="1"/>
    <xf numFmtId="2" fontId="0" fillId="0" borderId="12" xfId="0" applyNumberFormat="1" applyBorder="1" applyAlignment="1">
      <alignment horizontal="center"/>
    </xf>
    <xf numFmtId="2" fontId="0" fillId="0" borderId="16" xfId="0" applyNumberFormat="1" applyBorder="1" applyAlignment="1">
      <alignment horizontal="center"/>
    </xf>
    <xf numFmtId="2" fontId="0" fillId="0" borderId="20" xfId="0" applyNumberFormat="1" applyBorder="1" applyAlignment="1">
      <alignment horizontal="center"/>
    </xf>
    <xf numFmtId="0" fontId="9" fillId="0" borderId="12" xfId="0" applyFont="1" applyBorder="1" applyAlignment="1">
      <alignment horizontal="center"/>
    </xf>
    <xf numFmtId="0" fontId="0" fillId="5" borderId="15" xfId="0" applyFill="1" applyBorder="1" applyAlignment="1">
      <alignment horizontal="center"/>
    </xf>
    <xf numFmtId="2" fontId="0" fillId="5" borderId="16" xfId="0" applyNumberFormat="1" applyFill="1" applyBorder="1" applyAlignment="1">
      <alignment horizontal="center"/>
    </xf>
    <xf numFmtId="0" fontId="9" fillId="0" borderId="20" xfId="0" applyFont="1" applyBorder="1" applyAlignment="1">
      <alignment horizontal="center"/>
    </xf>
    <xf numFmtId="0" fontId="9" fillId="0" borderId="18" xfId="0" applyFont="1" applyBorder="1" applyAlignment="1">
      <alignment horizontal="center"/>
    </xf>
    <xf numFmtId="0" fontId="0" fillId="6" borderId="13" xfId="0" applyFill="1" applyBorder="1" applyAlignment="1">
      <alignment horizontal="center"/>
    </xf>
    <xf numFmtId="0" fontId="0" fillId="6" borderId="19" xfId="0" applyFill="1" applyBorder="1" applyAlignment="1">
      <alignment horizontal="center"/>
    </xf>
    <xf numFmtId="2" fontId="0" fillId="6" borderId="19" xfId="0" applyNumberFormat="1" applyFill="1" applyBorder="1" applyAlignment="1">
      <alignment horizontal="center"/>
    </xf>
    <xf numFmtId="2" fontId="0" fillId="6" borderId="14" xfId="0" applyNumberFormat="1" applyFill="1" applyBorder="1" applyAlignment="1">
      <alignment horizontal="center"/>
    </xf>
    <xf numFmtId="0" fontId="0" fillId="6" borderId="14" xfId="0" applyFill="1" applyBorder="1" applyAlignment="1">
      <alignment horizontal="center"/>
    </xf>
    <xf numFmtId="0" fontId="0" fillId="5" borderId="16" xfId="0" applyFill="1" applyBorder="1" applyAlignment="1">
      <alignment horizontal="center"/>
    </xf>
    <xf numFmtId="0" fontId="10" fillId="0" borderId="17" xfId="0" applyFont="1" applyBorder="1" applyAlignment="1">
      <alignment horizontal="center"/>
    </xf>
    <xf numFmtId="0" fontId="12" fillId="0" borderId="21" xfId="0" applyFont="1" applyBorder="1" applyAlignment="1">
      <alignment horizontal="center"/>
    </xf>
    <xf numFmtId="2" fontId="0" fillId="6" borderId="0" xfId="0" applyNumberFormat="1" applyFill="1" applyBorder="1" applyAlignment="1">
      <alignment horizontal="center"/>
    </xf>
    <xf numFmtId="2" fontId="0" fillId="5" borderId="0" xfId="0" applyNumberFormat="1" applyFill="1" applyBorder="1" applyAlignment="1">
      <alignment horizontal="center"/>
    </xf>
    <xf numFmtId="2" fontId="0" fillId="0" borderId="0" xfId="0" applyNumberFormat="1" applyBorder="1" applyAlignment="1">
      <alignment horizontal="center"/>
    </xf>
    <xf numFmtId="0" fontId="0" fillId="6" borderId="12" xfId="0" applyFill="1" applyBorder="1" applyAlignment="1">
      <alignment horizontal="center"/>
    </xf>
    <xf numFmtId="0" fontId="0" fillId="0" borderId="16" xfId="0" applyBorder="1"/>
    <xf numFmtId="0" fontId="12" fillId="0" borderId="17" xfId="0" applyFont="1" applyBorder="1" applyAlignment="1">
      <alignment horizontal="center"/>
    </xf>
    <xf numFmtId="2" fontId="0" fillId="0" borderId="20" xfId="0" applyNumberFormat="1" applyFill="1" applyBorder="1" applyAlignment="1">
      <alignment horizontal="center"/>
    </xf>
    <xf numFmtId="0" fontId="13" fillId="0" borderId="0" xfId="0" applyFont="1"/>
    <xf numFmtId="0" fontId="0" fillId="7" borderId="19" xfId="0" applyFill="1" applyBorder="1" applyAlignment="1">
      <alignment horizontal="center"/>
    </xf>
    <xf numFmtId="0" fontId="0" fillId="6" borderId="15" xfId="0" applyFill="1" applyBorder="1" applyAlignment="1">
      <alignment horizontal="center"/>
    </xf>
    <xf numFmtId="0" fontId="0" fillId="7" borderId="13" xfId="0" applyFill="1" applyBorder="1" applyAlignment="1">
      <alignment horizontal="center"/>
    </xf>
    <xf numFmtId="2" fontId="0" fillId="7" borderId="19" xfId="0" applyNumberFormat="1" applyFill="1" applyBorder="1" applyAlignment="1">
      <alignment horizontal="center"/>
    </xf>
    <xf numFmtId="2" fontId="10" fillId="7" borderId="19" xfId="0" applyNumberFormat="1" applyFont="1" applyFill="1" applyBorder="1" applyAlignment="1">
      <alignment horizontal="center"/>
    </xf>
    <xf numFmtId="0" fontId="0" fillId="7" borderId="14" xfId="0" applyFill="1" applyBorder="1" applyAlignment="1">
      <alignment horizontal="center"/>
    </xf>
    <xf numFmtId="0" fontId="12" fillId="0" borderId="15" xfId="0" applyFont="1" applyBorder="1" applyAlignment="1">
      <alignment horizontal="center"/>
    </xf>
    <xf numFmtId="0" fontId="0" fillId="8" borderId="0" xfId="0" applyFill="1" applyBorder="1" applyAlignment="1">
      <alignment horizontal="center"/>
    </xf>
    <xf numFmtId="2" fontId="0" fillId="0" borderId="16" xfId="0" applyNumberFormat="1" applyFill="1" applyBorder="1" applyAlignment="1">
      <alignment horizontal="center"/>
    </xf>
    <xf numFmtId="2" fontId="0" fillId="5" borderId="12" xfId="0" applyNumberFormat="1" applyFill="1" applyBorder="1" applyAlignment="1">
      <alignment horizontal="center"/>
    </xf>
    <xf numFmtId="2" fontId="0" fillId="6" borderId="12" xfId="0" applyNumberFormat="1" applyFill="1" applyBorder="1" applyAlignment="1">
      <alignment horizontal="center"/>
    </xf>
    <xf numFmtId="2" fontId="0" fillId="6" borderId="16" xfId="0" applyNumberFormat="1" applyFill="1" applyBorder="1" applyAlignment="1">
      <alignment horizontal="center"/>
    </xf>
    <xf numFmtId="0" fontId="0" fillId="0" borderId="19" xfId="0" applyBorder="1" applyAlignment="1">
      <alignment horizontal="center"/>
    </xf>
    <xf numFmtId="0" fontId="0" fillId="0" borderId="14" xfId="0" applyBorder="1" applyAlignment="1">
      <alignment horizontal="center"/>
    </xf>
    <xf numFmtId="0" fontId="12" fillId="9" borderId="17" xfId="0" applyFont="1" applyFill="1" applyBorder="1" applyAlignment="1">
      <alignment horizontal="center"/>
    </xf>
    <xf numFmtId="0" fontId="9" fillId="9" borderId="20" xfId="0" applyFont="1" applyFill="1" applyBorder="1" applyAlignment="1">
      <alignment horizontal="center"/>
    </xf>
    <xf numFmtId="2" fontId="0" fillId="9" borderId="20" xfId="0" applyNumberFormat="1" applyFill="1" applyBorder="1" applyAlignment="1">
      <alignment horizontal="center"/>
    </xf>
    <xf numFmtId="0" fontId="0" fillId="9" borderId="20" xfId="0" applyFill="1" applyBorder="1" applyAlignment="1">
      <alignment horizontal="center"/>
    </xf>
    <xf numFmtId="0" fontId="0" fillId="9" borderId="18" xfId="0" applyFill="1" applyBorder="1" applyAlignment="1">
      <alignment horizontal="center"/>
    </xf>
    <xf numFmtId="2" fontId="0" fillId="8" borderId="0" xfId="0" applyNumberFormat="1" applyFill="1" applyBorder="1" applyAlignment="1">
      <alignment horizontal="center"/>
    </xf>
    <xf numFmtId="0" fontId="0" fillId="8" borderId="22" xfId="0" applyFill="1" applyBorder="1" applyAlignment="1">
      <alignment horizontal="center"/>
    </xf>
    <xf numFmtId="16" fontId="0" fillId="0" borderId="0" xfId="0" applyNumberFormat="1"/>
    <xf numFmtId="0" fontId="4" fillId="0" borderId="0" xfId="0" applyFont="1"/>
    <xf numFmtId="0" fontId="0" fillId="0" borderId="23" xfId="0" applyFill="1" applyBorder="1" applyAlignment="1">
      <alignment horizontal="center"/>
    </xf>
    <xf numFmtId="0" fontId="2" fillId="3" borderId="11" xfId="0" applyFont="1" applyFill="1" applyBorder="1" applyAlignment="1">
      <alignment horizontal="center" wrapText="1" readingOrder="1"/>
    </xf>
    <xf numFmtId="0" fontId="5" fillId="2" borderId="11" xfId="0" applyFont="1" applyFill="1" applyBorder="1" applyAlignment="1">
      <alignment horizont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Calc!$D$63</c:f>
              <c:strCache>
                <c:ptCount val="1"/>
                <c:pt idx="0">
                  <c:v>$ Salary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Calc!$C$64:$C$72</c:f>
              <c:numCache>
                <c:formatCode>General</c:formatCode>
                <c:ptCount val="9"/>
                <c:pt idx="0">
                  <c:v>2</c:v>
                </c:pt>
                <c:pt idx="1">
                  <c:v>3</c:v>
                </c:pt>
                <c:pt idx="2">
                  <c:v>5</c:v>
                </c:pt>
                <c:pt idx="3">
                  <c:v>13</c:v>
                </c:pt>
                <c:pt idx="4">
                  <c:v>8</c:v>
                </c:pt>
                <c:pt idx="5">
                  <c:v>16</c:v>
                </c:pt>
                <c:pt idx="6">
                  <c:v>11</c:v>
                </c:pt>
                <c:pt idx="7">
                  <c:v>1</c:v>
                </c:pt>
                <c:pt idx="8">
                  <c:v>9</c:v>
                </c:pt>
              </c:numCache>
            </c:numRef>
          </c:xVal>
          <c:yVal>
            <c:numRef>
              <c:f>Calc!$D$64:$D$72</c:f>
              <c:numCache>
                <c:formatCode>General</c:formatCode>
                <c:ptCount val="9"/>
                <c:pt idx="0">
                  <c:v>15</c:v>
                </c:pt>
                <c:pt idx="1">
                  <c:v>28</c:v>
                </c:pt>
                <c:pt idx="2">
                  <c:v>42</c:v>
                </c:pt>
                <c:pt idx="3">
                  <c:v>64</c:v>
                </c:pt>
                <c:pt idx="4">
                  <c:v>50</c:v>
                </c:pt>
                <c:pt idx="5">
                  <c:v>90</c:v>
                </c:pt>
                <c:pt idx="6">
                  <c:v>58</c:v>
                </c:pt>
                <c:pt idx="7">
                  <c:v>8</c:v>
                </c:pt>
                <c:pt idx="8">
                  <c:v>54</c:v>
                </c:pt>
              </c:numCache>
            </c:numRef>
          </c:yVal>
          <c:smooth val="0"/>
          <c:extLst>
            <c:ext xmlns:c16="http://schemas.microsoft.com/office/drawing/2014/chart" uri="{C3380CC4-5D6E-409C-BE32-E72D297353CC}">
              <c16:uniqueId val="{00000000-D848-43B5-8447-FC5835B51AE2}"/>
            </c:ext>
          </c:extLst>
        </c:ser>
        <c:dLbls>
          <c:dLblPos val="t"/>
          <c:showLegendKey val="0"/>
          <c:showVal val="1"/>
          <c:showCatName val="0"/>
          <c:showSerName val="0"/>
          <c:showPercent val="0"/>
          <c:showBubbleSize val="0"/>
        </c:dLbls>
        <c:axId val="1214639695"/>
        <c:axId val="1113647247"/>
      </c:scatterChart>
      <c:valAx>
        <c:axId val="1214639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7247"/>
        <c:crosses val="autoZero"/>
        <c:crossBetween val="midCat"/>
      </c:valAx>
      <c:valAx>
        <c:axId val="111364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396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Calc!$D$63</c:f>
              <c:strCache>
                <c:ptCount val="1"/>
                <c:pt idx="0">
                  <c:v>$ Salary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Calc!$C$64:$C$72</c:f>
              <c:numCache>
                <c:formatCode>General</c:formatCode>
                <c:ptCount val="9"/>
                <c:pt idx="0">
                  <c:v>2</c:v>
                </c:pt>
                <c:pt idx="1">
                  <c:v>3</c:v>
                </c:pt>
                <c:pt idx="2">
                  <c:v>5</c:v>
                </c:pt>
                <c:pt idx="3">
                  <c:v>13</c:v>
                </c:pt>
                <c:pt idx="4">
                  <c:v>8</c:v>
                </c:pt>
                <c:pt idx="5">
                  <c:v>16</c:v>
                </c:pt>
                <c:pt idx="6">
                  <c:v>11</c:v>
                </c:pt>
                <c:pt idx="7">
                  <c:v>1</c:v>
                </c:pt>
                <c:pt idx="8">
                  <c:v>9</c:v>
                </c:pt>
              </c:numCache>
            </c:numRef>
          </c:xVal>
          <c:yVal>
            <c:numRef>
              <c:f>Calc!$D$64:$D$72</c:f>
              <c:numCache>
                <c:formatCode>General</c:formatCode>
                <c:ptCount val="9"/>
                <c:pt idx="0">
                  <c:v>15</c:v>
                </c:pt>
                <c:pt idx="1">
                  <c:v>28</c:v>
                </c:pt>
                <c:pt idx="2">
                  <c:v>42</c:v>
                </c:pt>
                <c:pt idx="3">
                  <c:v>64</c:v>
                </c:pt>
                <c:pt idx="4">
                  <c:v>50</c:v>
                </c:pt>
                <c:pt idx="5">
                  <c:v>90</c:v>
                </c:pt>
                <c:pt idx="6">
                  <c:v>58</c:v>
                </c:pt>
                <c:pt idx="7">
                  <c:v>8</c:v>
                </c:pt>
                <c:pt idx="8">
                  <c:v>54</c:v>
                </c:pt>
              </c:numCache>
            </c:numRef>
          </c:yVal>
          <c:smooth val="0"/>
          <c:extLst>
            <c:ext xmlns:c16="http://schemas.microsoft.com/office/drawing/2014/chart" uri="{C3380CC4-5D6E-409C-BE32-E72D297353CC}">
              <c16:uniqueId val="{00000000-470C-45D5-87BF-7E024E7D0FFA}"/>
            </c:ext>
          </c:extLst>
        </c:ser>
        <c:dLbls>
          <c:dLblPos val="t"/>
          <c:showLegendKey val="0"/>
          <c:showVal val="1"/>
          <c:showCatName val="0"/>
          <c:showSerName val="0"/>
          <c:showPercent val="0"/>
          <c:showBubbleSize val="0"/>
        </c:dLbls>
        <c:axId val="1214639695"/>
        <c:axId val="1113647247"/>
      </c:scatterChart>
      <c:valAx>
        <c:axId val="1214639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7247"/>
        <c:crosses val="autoZero"/>
        <c:crossBetween val="midCat"/>
      </c:valAx>
      <c:valAx>
        <c:axId val="111364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396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Calc!$D$63</c:f>
              <c:strCache>
                <c:ptCount val="1"/>
                <c:pt idx="0">
                  <c:v>$ Salary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Calc!$C$64:$C$72</c:f>
              <c:numCache>
                <c:formatCode>General</c:formatCode>
                <c:ptCount val="9"/>
                <c:pt idx="0">
                  <c:v>2</c:v>
                </c:pt>
                <c:pt idx="1">
                  <c:v>3</c:v>
                </c:pt>
                <c:pt idx="2">
                  <c:v>5</c:v>
                </c:pt>
                <c:pt idx="3">
                  <c:v>13</c:v>
                </c:pt>
                <c:pt idx="4">
                  <c:v>8</c:v>
                </c:pt>
                <c:pt idx="5">
                  <c:v>16</c:v>
                </c:pt>
                <c:pt idx="6">
                  <c:v>11</c:v>
                </c:pt>
                <c:pt idx="7">
                  <c:v>1</c:v>
                </c:pt>
                <c:pt idx="8">
                  <c:v>9</c:v>
                </c:pt>
              </c:numCache>
            </c:numRef>
          </c:xVal>
          <c:yVal>
            <c:numRef>
              <c:f>Calc!$D$64:$D$72</c:f>
              <c:numCache>
                <c:formatCode>General</c:formatCode>
                <c:ptCount val="9"/>
                <c:pt idx="0">
                  <c:v>15</c:v>
                </c:pt>
                <c:pt idx="1">
                  <c:v>28</c:v>
                </c:pt>
                <c:pt idx="2">
                  <c:v>42</c:v>
                </c:pt>
                <c:pt idx="3">
                  <c:v>64</c:v>
                </c:pt>
                <c:pt idx="4">
                  <c:v>50</c:v>
                </c:pt>
                <c:pt idx="5">
                  <c:v>90</c:v>
                </c:pt>
                <c:pt idx="6">
                  <c:v>58</c:v>
                </c:pt>
                <c:pt idx="7">
                  <c:v>8</c:v>
                </c:pt>
                <c:pt idx="8">
                  <c:v>54</c:v>
                </c:pt>
              </c:numCache>
            </c:numRef>
          </c:yVal>
          <c:smooth val="0"/>
          <c:extLst>
            <c:ext xmlns:c16="http://schemas.microsoft.com/office/drawing/2014/chart" uri="{C3380CC4-5D6E-409C-BE32-E72D297353CC}">
              <c16:uniqueId val="{00000004-732F-46E1-92DF-55DDF00D5267}"/>
            </c:ext>
          </c:extLst>
        </c:ser>
        <c:dLbls>
          <c:dLblPos val="t"/>
          <c:showLegendKey val="0"/>
          <c:showVal val="1"/>
          <c:showCatName val="0"/>
          <c:showSerName val="0"/>
          <c:showPercent val="0"/>
          <c:showBubbleSize val="0"/>
        </c:dLbls>
        <c:axId val="1214639695"/>
        <c:axId val="1113647247"/>
      </c:scatterChart>
      <c:valAx>
        <c:axId val="1214639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7247"/>
        <c:crosses val="autoZero"/>
        <c:crossBetween val="midCat"/>
      </c:valAx>
      <c:valAx>
        <c:axId val="111364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396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Calc!$D$63</c:f>
              <c:strCache>
                <c:ptCount val="1"/>
                <c:pt idx="0">
                  <c:v>$ Salary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Calc!$C$64:$C$72</c:f>
              <c:numCache>
                <c:formatCode>General</c:formatCode>
                <c:ptCount val="9"/>
                <c:pt idx="0">
                  <c:v>2</c:v>
                </c:pt>
                <c:pt idx="1">
                  <c:v>3</c:v>
                </c:pt>
                <c:pt idx="2">
                  <c:v>5</c:v>
                </c:pt>
                <c:pt idx="3">
                  <c:v>13</c:v>
                </c:pt>
                <c:pt idx="4">
                  <c:v>8</c:v>
                </c:pt>
                <c:pt idx="5">
                  <c:v>16</c:v>
                </c:pt>
                <c:pt idx="6">
                  <c:v>11</c:v>
                </c:pt>
                <c:pt idx="7">
                  <c:v>1</c:v>
                </c:pt>
                <c:pt idx="8">
                  <c:v>9</c:v>
                </c:pt>
              </c:numCache>
            </c:numRef>
          </c:xVal>
          <c:yVal>
            <c:numRef>
              <c:f>Calc!$D$64:$D$72</c:f>
              <c:numCache>
                <c:formatCode>General</c:formatCode>
                <c:ptCount val="9"/>
                <c:pt idx="0">
                  <c:v>15</c:v>
                </c:pt>
                <c:pt idx="1">
                  <c:v>28</c:v>
                </c:pt>
                <c:pt idx="2">
                  <c:v>42</c:v>
                </c:pt>
                <c:pt idx="3">
                  <c:v>64</c:v>
                </c:pt>
                <c:pt idx="4">
                  <c:v>50</c:v>
                </c:pt>
                <c:pt idx="5">
                  <c:v>90</c:v>
                </c:pt>
                <c:pt idx="6">
                  <c:v>58</c:v>
                </c:pt>
                <c:pt idx="7">
                  <c:v>8</c:v>
                </c:pt>
                <c:pt idx="8">
                  <c:v>54</c:v>
                </c:pt>
              </c:numCache>
            </c:numRef>
          </c:yVal>
          <c:smooth val="0"/>
          <c:extLst>
            <c:ext xmlns:c16="http://schemas.microsoft.com/office/drawing/2014/chart" uri="{C3380CC4-5D6E-409C-BE32-E72D297353CC}">
              <c16:uniqueId val="{00000003-5E9F-45D8-A563-AD1D88A4044E}"/>
            </c:ext>
          </c:extLst>
        </c:ser>
        <c:dLbls>
          <c:dLblPos val="t"/>
          <c:showLegendKey val="0"/>
          <c:showVal val="1"/>
          <c:showCatName val="0"/>
          <c:showSerName val="0"/>
          <c:showPercent val="0"/>
          <c:showBubbleSize val="0"/>
        </c:dLbls>
        <c:axId val="1214639695"/>
        <c:axId val="1113647247"/>
      </c:scatterChart>
      <c:valAx>
        <c:axId val="1214639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7247"/>
        <c:crosses val="autoZero"/>
        <c:crossBetween val="midCat"/>
      </c:valAx>
      <c:valAx>
        <c:axId val="111364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396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Scatter Plot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Calc!$D$63</c:f>
              <c:strCache>
                <c:ptCount val="1"/>
                <c:pt idx="0">
                  <c:v>$ Salary</c:v>
                </c:pt>
              </c:strCache>
            </c:strRef>
          </c:tx>
          <c:spPr>
            <a:ln w="28575"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Calc!$C$64:$C$72</c:f>
              <c:numCache>
                <c:formatCode>General</c:formatCode>
                <c:ptCount val="9"/>
                <c:pt idx="0">
                  <c:v>2</c:v>
                </c:pt>
                <c:pt idx="1">
                  <c:v>3</c:v>
                </c:pt>
                <c:pt idx="2">
                  <c:v>5</c:v>
                </c:pt>
                <c:pt idx="3">
                  <c:v>13</c:v>
                </c:pt>
                <c:pt idx="4">
                  <c:v>8</c:v>
                </c:pt>
                <c:pt idx="5">
                  <c:v>16</c:v>
                </c:pt>
                <c:pt idx="6">
                  <c:v>11</c:v>
                </c:pt>
                <c:pt idx="7">
                  <c:v>1</c:v>
                </c:pt>
                <c:pt idx="8">
                  <c:v>9</c:v>
                </c:pt>
              </c:numCache>
            </c:numRef>
          </c:xVal>
          <c:yVal>
            <c:numRef>
              <c:f>Calc!$D$64:$D$72</c:f>
              <c:numCache>
                <c:formatCode>General</c:formatCode>
                <c:ptCount val="9"/>
                <c:pt idx="0">
                  <c:v>15</c:v>
                </c:pt>
                <c:pt idx="1">
                  <c:v>28</c:v>
                </c:pt>
                <c:pt idx="2">
                  <c:v>42</c:v>
                </c:pt>
                <c:pt idx="3">
                  <c:v>64</c:v>
                </c:pt>
                <c:pt idx="4">
                  <c:v>50</c:v>
                </c:pt>
                <c:pt idx="5">
                  <c:v>90</c:v>
                </c:pt>
                <c:pt idx="6">
                  <c:v>58</c:v>
                </c:pt>
                <c:pt idx="7">
                  <c:v>8</c:v>
                </c:pt>
                <c:pt idx="8">
                  <c:v>54</c:v>
                </c:pt>
              </c:numCache>
            </c:numRef>
          </c:yVal>
          <c:smooth val="0"/>
          <c:extLst>
            <c:ext xmlns:c16="http://schemas.microsoft.com/office/drawing/2014/chart" uri="{C3380CC4-5D6E-409C-BE32-E72D297353CC}">
              <c16:uniqueId val="{00000000-215B-4932-BDCD-6C98CBB85A5C}"/>
            </c:ext>
          </c:extLst>
        </c:ser>
        <c:dLbls>
          <c:dLblPos val="t"/>
          <c:showLegendKey val="0"/>
          <c:showVal val="1"/>
          <c:showCatName val="0"/>
          <c:showSerName val="0"/>
          <c:showPercent val="0"/>
          <c:showBubbleSize val="0"/>
        </c:dLbls>
        <c:axId val="1214639695"/>
        <c:axId val="1113647247"/>
      </c:scatterChart>
      <c:valAx>
        <c:axId val="12146396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Experience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47247"/>
        <c:crosses val="autoZero"/>
        <c:crossBetween val="midCat"/>
      </c:valAx>
      <c:valAx>
        <c:axId val="1113647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6396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Sheet2!$C$3</c:f>
              <c:strCache>
                <c:ptCount val="1"/>
                <c:pt idx="0">
                  <c:v>$ Salary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Sheet2!$B$4:$B$13</c:f>
              <c:numCache>
                <c:formatCode>General</c:formatCode>
                <c:ptCount val="10"/>
                <c:pt idx="0">
                  <c:v>2</c:v>
                </c:pt>
                <c:pt idx="1">
                  <c:v>3</c:v>
                </c:pt>
                <c:pt idx="2">
                  <c:v>5</c:v>
                </c:pt>
                <c:pt idx="3">
                  <c:v>13</c:v>
                </c:pt>
                <c:pt idx="4">
                  <c:v>8</c:v>
                </c:pt>
                <c:pt idx="5">
                  <c:v>16</c:v>
                </c:pt>
                <c:pt idx="6">
                  <c:v>11</c:v>
                </c:pt>
                <c:pt idx="7">
                  <c:v>1</c:v>
                </c:pt>
                <c:pt idx="8">
                  <c:v>9</c:v>
                </c:pt>
                <c:pt idx="9">
                  <c:v>4</c:v>
                </c:pt>
              </c:numCache>
            </c:numRef>
          </c:xVal>
          <c:yVal>
            <c:numRef>
              <c:f>Sheet2!$C$4:$C$13</c:f>
              <c:numCache>
                <c:formatCode>General</c:formatCode>
                <c:ptCount val="10"/>
                <c:pt idx="0">
                  <c:v>15</c:v>
                </c:pt>
                <c:pt idx="1">
                  <c:v>28</c:v>
                </c:pt>
                <c:pt idx="2">
                  <c:v>42</c:v>
                </c:pt>
                <c:pt idx="3">
                  <c:v>64</c:v>
                </c:pt>
                <c:pt idx="4">
                  <c:v>50</c:v>
                </c:pt>
                <c:pt idx="5">
                  <c:v>90</c:v>
                </c:pt>
                <c:pt idx="6">
                  <c:v>58</c:v>
                </c:pt>
                <c:pt idx="7">
                  <c:v>8</c:v>
                </c:pt>
                <c:pt idx="8">
                  <c:v>54</c:v>
                </c:pt>
                <c:pt idx="9">
                  <c:v>0</c:v>
                </c:pt>
              </c:numCache>
            </c:numRef>
          </c:yVal>
          <c:smooth val="0"/>
          <c:extLst>
            <c:ext xmlns:c16="http://schemas.microsoft.com/office/drawing/2014/chart" uri="{C3380CC4-5D6E-409C-BE32-E72D297353CC}">
              <c16:uniqueId val="{00000000-019C-4E1C-9431-07D1D0F3C5E1}"/>
            </c:ext>
          </c:extLst>
        </c:ser>
        <c:dLbls>
          <c:showLegendKey val="0"/>
          <c:showVal val="0"/>
          <c:showCatName val="0"/>
          <c:showSerName val="0"/>
          <c:showPercent val="0"/>
          <c:showBubbleSize val="0"/>
        </c:dLbls>
        <c:axId val="1488054496"/>
        <c:axId val="1488049920"/>
      </c:scatterChart>
      <c:valAx>
        <c:axId val="14880544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049920"/>
        <c:crosses val="autoZero"/>
        <c:crossBetween val="midCat"/>
      </c:valAx>
      <c:valAx>
        <c:axId val="148804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0544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yVal>
            <c:numRef>
              <c:f>BasicLinear!$C$7:$C$12</c:f>
              <c:numCache>
                <c:formatCode>General</c:formatCode>
                <c:ptCount val="6"/>
                <c:pt idx="0">
                  <c:v>5</c:v>
                </c:pt>
                <c:pt idx="1">
                  <c:v>17</c:v>
                </c:pt>
                <c:pt idx="2">
                  <c:v>11</c:v>
                </c:pt>
                <c:pt idx="3">
                  <c:v>8</c:v>
                </c:pt>
                <c:pt idx="4">
                  <c:v>14</c:v>
                </c:pt>
                <c:pt idx="5">
                  <c:v>5</c:v>
                </c:pt>
              </c:numCache>
            </c:numRef>
          </c:yVal>
          <c:smooth val="0"/>
          <c:extLst>
            <c:ext xmlns:c16="http://schemas.microsoft.com/office/drawing/2014/chart" uri="{C3380CC4-5D6E-409C-BE32-E72D297353CC}">
              <c16:uniqueId val="{00000000-9C96-4BDF-96BB-0959726D7DE2}"/>
            </c:ext>
          </c:extLst>
        </c:ser>
        <c:dLbls>
          <c:showLegendKey val="0"/>
          <c:showVal val="0"/>
          <c:showCatName val="0"/>
          <c:showSerName val="0"/>
          <c:showPercent val="0"/>
          <c:showBubbleSize val="0"/>
        </c:dLbls>
        <c:axId val="698746880"/>
        <c:axId val="32587872"/>
      </c:scatterChart>
      <c:valAx>
        <c:axId val="69874688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87872"/>
        <c:crosses val="autoZero"/>
        <c:crossBetween val="midCat"/>
      </c:valAx>
      <c:valAx>
        <c:axId val="3258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46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7136482939632549E-2"/>
          <c:y val="0.19486111111111112"/>
          <c:w val="0.90286351706036749"/>
          <c:h val="0.72088764946048411"/>
        </c:manualLayout>
      </c:layout>
      <c:lineChart>
        <c:grouping val="standard"/>
        <c:varyColors val="0"/>
        <c:ser>
          <c:idx val="0"/>
          <c:order val="0"/>
          <c:spPr>
            <a:ln w="28575" cap="rnd">
              <a:solidFill>
                <a:schemeClr val="accent1"/>
              </a:solidFill>
              <a:round/>
            </a:ln>
            <a:effectLst/>
          </c:spPr>
          <c:marker>
            <c:symbol val="none"/>
          </c:marker>
          <c:val>
            <c:numRef>
              <c:f>BasicLinear!$C$7:$C$12</c:f>
              <c:numCache>
                <c:formatCode>General</c:formatCode>
                <c:ptCount val="6"/>
                <c:pt idx="0">
                  <c:v>5</c:v>
                </c:pt>
                <c:pt idx="1">
                  <c:v>17</c:v>
                </c:pt>
                <c:pt idx="2">
                  <c:v>11</c:v>
                </c:pt>
                <c:pt idx="3">
                  <c:v>8</c:v>
                </c:pt>
                <c:pt idx="4">
                  <c:v>14</c:v>
                </c:pt>
                <c:pt idx="5">
                  <c:v>5</c:v>
                </c:pt>
              </c:numCache>
            </c:numRef>
          </c:val>
          <c:smooth val="0"/>
          <c:extLst>
            <c:ext xmlns:c16="http://schemas.microsoft.com/office/drawing/2014/chart" uri="{C3380CC4-5D6E-409C-BE32-E72D297353CC}">
              <c16:uniqueId val="{00000000-830B-416B-B000-8A33F33DC5DB}"/>
            </c:ext>
          </c:extLst>
        </c:ser>
        <c:dLbls>
          <c:showLegendKey val="0"/>
          <c:showVal val="0"/>
          <c:showCatName val="0"/>
          <c:showSerName val="0"/>
          <c:showPercent val="0"/>
          <c:showBubbleSize val="0"/>
        </c:dLbls>
        <c:smooth val="0"/>
        <c:axId val="491807632"/>
        <c:axId val="592402336"/>
      </c:lineChart>
      <c:catAx>
        <c:axId val="49180763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402336"/>
        <c:crosses val="autoZero"/>
        <c:auto val="1"/>
        <c:lblAlgn val="ctr"/>
        <c:lblOffset val="100"/>
        <c:noMultiLvlLbl val="0"/>
      </c:catAx>
      <c:valAx>
        <c:axId val="59240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0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ustomXml" Target="../ink/ink2.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ustomXml" Target="../ink/ink1.xml"/><Relationship Id="rId11" Type="http://schemas.openxmlformats.org/officeDocument/2006/relationships/customXml" Target="../ink/ink5.xml"/><Relationship Id="rId5" Type="http://schemas.openxmlformats.org/officeDocument/2006/relationships/chart" Target="../charts/chart5.xml"/><Relationship Id="rId10" Type="http://schemas.openxmlformats.org/officeDocument/2006/relationships/customXml" Target="../ink/ink4.xml"/><Relationship Id="rId4" Type="http://schemas.openxmlformats.org/officeDocument/2006/relationships/chart" Target="../charts/chart4.xml"/><Relationship Id="rId9" Type="http://schemas.openxmlformats.org/officeDocument/2006/relationships/customXml" Target="../ink/ink3.xml"/></Relationships>
</file>

<file path=xl/drawings/_rels/drawing2.xml.rels><?xml version="1.0" encoding="UTF-8" standalone="yes"?>
<Relationships xmlns="http://schemas.openxmlformats.org/package/2006/relationships"><Relationship Id="rId8" Type="http://schemas.openxmlformats.org/officeDocument/2006/relationships/customXml" Target="../ink/ink9.xml"/><Relationship Id="rId3" Type="http://schemas.openxmlformats.org/officeDocument/2006/relationships/image" Target="../media/image2.png"/><Relationship Id="rId7" Type="http://schemas.openxmlformats.org/officeDocument/2006/relationships/image" Target="../media/image4.png"/><Relationship Id="rId2" Type="http://schemas.openxmlformats.org/officeDocument/2006/relationships/customXml" Target="../ink/ink6.xml"/><Relationship Id="rId1" Type="http://schemas.openxmlformats.org/officeDocument/2006/relationships/chart" Target="../charts/chart6.xml"/><Relationship Id="rId6" Type="http://schemas.openxmlformats.org/officeDocument/2006/relationships/customXml" Target="../ink/ink8.xml"/><Relationship Id="rId5" Type="http://schemas.openxmlformats.org/officeDocument/2006/relationships/image" Target="../media/image3.png"/><Relationship Id="rId4" Type="http://schemas.openxmlformats.org/officeDocument/2006/relationships/customXml" Target="../ink/ink7.xm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ustomXml" Target="../ink/ink12.xml"/><Relationship Id="rId13" Type="http://schemas.openxmlformats.org/officeDocument/2006/relationships/customXml" Target="../ink/ink15.xml"/><Relationship Id="rId3" Type="http://schemas.openxmlformats.org/officeDocument/2006/relationships/chart" Target="../charts/chart8.xml"/><Relationship Id="rId7" Type="http://schemas.openxmlformats.org/officeDocument/2006/relationships/image" Target="../media/image40.png"/><Relationship Id="rId12" Type="http://schemas.openxmlformats.org/officeDocument/2006/relationships/customXml" Target="../ink/ink14.xml"/><Relationship Id="rId2" Type="http://schemas.openxmlformats.org/officeDocument/2006/relationships/image" Target="../media/image6.png"/><Relationship Id="rId1" Type="http://schemas.openxmlformats.org/officeDocument/2006/relationships/chart" Target="../charts/chart7.xml"/><Relationship Id="rId6" Type="http://schemas.openxmlformats.org/officeDocument/2006/relationships/customXml" Target="../ink/ink11.xml"/><Relationship Id="rId11" Type="http://schemas.openxmlformats.org/officeDocument/2006/relationships/image" Target="../media/image60.png"/><Relationship Id="rId5" Type="http://schemas.openxmlformats.org/officeDocument/2006/relationships/image" Target="../media/image30.png"/><Relationship Id="rId10" Type="http://schemas.openxmlformats.org/officeDocument/2006/relationships/customXml" Target="../ink/ink13.xml"/><Relationship Id="rId4" Type="http://schemas.openxmlformats.org/officeDocument/2006/relationships/customXml" Target="../ink/ink10.xml"/><Relationship Id="rId9" Type="http://schemas.openxmlformats.org/officeDocument/2006/relationships/image" Target="../media/image50.png"/><Relationship Id="rId14" Type="http://schemas.openxmlformats.org/officeDocument/2006/relationships/customXml" Target="../ink/ink16.xml"/></Relationships>
</file>

<file path=xl/drawings/drawing1.xml><?xml version="1.0" encoding="utf-8"?>
<xdr:wsDr xmlns:xdr="http://schemas.openxmlformats.org/drawingml/2006/spreadsheetDrawing" xmlns:a="http://schemas.openxmlformats.org/drawingml/2006/main">
  <xdr:twoCellAnchor>
    <xdr:from>
      <xdr:col>5</xdr:col>
      <xdr:colOff>104775</xdr:colOff>
      <xdr:row>62</xdr:row>
      <xdr:rowOff>53975</xdr:rowOff>
    </xdr:from>
    <xdr:to>
      <xdr:col>14</xdr:col>
      <xdr:colOff>409575</xdr:colOff>
      <xdr:row>77</xdr:row>
      <xdr:rowOff>28575</xdr:rowOff>
    </xdr:to>
    <xdr:graphicFrame macro="">
      <xdr:nvGraphicFramePr>
        <xdr:cNvPr id="2" name="Chart 1">
          <a:extLst>
            <a:ext uri="{FF2B5EF4-FFF2-40B4-BE49-F238E27FC236}">
              <a16:creationId xmlns:a16="http://schemas.microsoft.com/office/drawing/2014/main" id="{47B85DC4-5B9A-4FD3-979E-87498889F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95</xdr:row>
      <xdr:rowOff>57150</xdr:rowOff>
    </xdr:from>
    <xdr:to>
      <xdr:col>15</xdr:col>
      <xdr:colOff>0</xdr:colOff>
      <xdr:row>110</xdr:row>
      <xdr:rowOff>38100</xdr:rowOff>
    </xdr:to>
    <xdr:graphicFrame macro="">
      <xdr:nvGraphicFramePr>
        <xdr:cNvPr id="3" name="Chart 2">
          <a:extLst>
            <a:ext uri="{FF2B5EF4-FFF2-40B4-BE49-F238E27FC236}">
              <a16:creationId xmlns:a16="http://schemas.microsoft.com/office/drawing/2014/main" id="{02AAF6C3-30CE-4380-89AF-D37088449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330200</xdr:colOff>
      <xdr:row>127</xdr:row>
      <xdr:rowOff>114300</xdr:rowOff>
    </xdr:from>
    <xdr:to>
      <xdr:col>15</xdr:col>
      <xdr:colOff>25400</xdr:colOff>
      <xdr:row>142</xdr:row>
      <xdr:rowOff>95250</xdr:rowOff>
    </xdr:to>
    <xdr:graphicFrame macro="">
      <xdr:nvGraphicFramePr>
        <xdr:cNvPr id="5" name="Chart 4">
          <a:extLst>
            <a:ext uri="{FF2B5EF4-FFF2-40B4-BE49-F238E27FC236}">
              <a16:creationId xmlns:a16="http://schemas.microsoft.com/office/drawing/2014/main" id="{1C8CDB8D-F816-4D8D-B817-93BEC4B807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273050</xdr:colOff>
      <xdr:row>112</xdr:row>
      <xdr:rowOff>12700</xdr:rowOff>
    </xdr:from>
    <xdr:to>
      <xdr:col>14</xdr:col>
      <xdr:colOff>577850</xdr:colOff>
      <xdr:row>126</xdr:row>
      <xdr:rowOff>177800</xdr:rowOff>
    </xdr:to>
    <xdr:graphicFrame macro="">
      <xdr:nvGraphicFramePr>
        <xdr:cNvPr id="6" name="Chart 5">
          <a:extLst>
            <a:ext uri="{FF2B5EF4-FFF2-40B4-BE49-F238E27FC236}">
              <a16:creationId xmlns:a16="http://schemas.microsoft.com/office/drawing/2014/main" id="{A797BCC2-8850-441C-A546-82D53AA96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82550</xdr:colOff>
      <xdr:row>77</xdr:row>
      <xdr:rowOff>177800</xdr:rowOff>
    </xdr:from>
    <xdr:to>
      <xdr:col>14</xdr:col>
      <xdr:colOff>387350</xdr:colOff>
      <xdr:row>92</xdr:row>
      <xdr:rowOff>158750</xdr:rowOff>
    </xdr:to>
    <xdr:grpSp>
      <xdr:nvGrpSpPr>
        <xdr:cNvPr id="21" name="Group 20">
          <a:extLst>
            <a:ext uri="{FF2B5EF4-FFF2-40B4-BE49-F238E27FC236}">
              <a16:creationId xmlns:a16="http://schemas.microsoft.com/office/drawing/2014/main" id="{002F953E-CBE9-4EDF-B298-F7BCF9E823B6}"/>
            </a:ext>
          </a:extLst>
        </xdr:cNvPr>
        <xdr:cNvGrpSpPr/>
      </xdr:nvGrpSpPr>
      <xdr:grpSpPr>
        <a:xfrm>
          <a:off x="3060700" y="13862050"/>
          <a:ext cx="5778500" cy="2743200"/>
          <a:chOff x="3060700" y="6648450"/>
          <a:chExt cx="5416550" cy="2743200"/>
        </a:xfrm>
      </xdr:grpSpPr>
      <xdr:graphicFrame macro="">
        <xdr:nvGraphicFramePr>
          <xdr:cNvPr id="7" name="Chart 6">
            <a:extLst>
              <a:ext uri="{FF2B5EF4-FFF2-40B4-BE49-F238E27FC236}">
                <a16:creationId xmlns:a16="http://schemas.microsoft.com/office/drawing/2014/main" id="{468D45C2-A84A-48E6-ABF6-30E5CACD4EEA}"/>
              </a:ext>
            </a:extLst>
          </xdr:cNvPr>
          <xdr:cNvGraphicFramePr>
            <a:graphicFrameLocks/>
          </xdr:cNvGraphicFramePr>
        </xdr:nvGraphicFramePr>
        <xdr:xfrm>
          <a:off x="3060700" y="6648450"/>
          <a:ext cx="5416550" cy="2743200"/>
        </xdr:xfrm>
        <a:graphic>
          <a:graphicData uri="http://schemas.openxmlformats.org/drawingml/2006/chart">
            <c:chart xmlns:c="http://schemas.openxmlformats.org/drawingml/2006/chart" xmlns:r="http://schemas.openxmlformats.org/officeDocument/2006/relationships" r:id="rId5"/>
          </a:graphicData>
        </a:graphic>
      </xdr:graphicFrame>
      <xdr:cxnSp macro="">
        <xdr:nvCxnSpPr>
          <xdr:cNvPr id="11" name="Straight Connector 10">
            <a:extLst>
              <a:ext uri="{FF2B5EF4-FFF2-40B4-BE49-F238E27FC236}">
                <a16:creationId xmlns:a16="http://schemas.microsoft.com/office/drawing/2014/main" id="{D63F9F28-008A-4CB3-A12F-24C980E71A66}"/>
              </a:ext>
            </a:extLst>
          </xdr:cNvPr>
          <xdr:cNvCxnSpPr/>
        </xdr:nvCxnSpPr>
        <xdr:spPr>
          <a:xfrm>
            <a:off x="3689350" y="8058150"/>
            <a:ext cx="4559300" cy="0"/>
          </a:xfrm>
          <a:prstGeom prst="line">
            <a:avLst/>
          </a:prstGeom>
          <a:ln w="9525" cap="flat" cmpd="sng" algn="ctr">
            <a:solidFill>
              <a:schemeClr val="accent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clientData/>
  </xdr:twoCellAnchor>
  <xdr:twoCellAnchor editAs="oneCell">
    <xdr:from>
      <xdr:col>6</xdr:col>
      <xdr:colOff>641160</xdr:colOff>
      <xdr:row>82</xdr:row>
      <xdr:rowOff>139430</xdr:rowOff>
    </xdr:from>
    <xdr:to>
      <xdr:col>6</xdr:col>
      <xdr:colOff>641520</xdr:colOff>
      <xdr:row>82</xdr:row>
      <xdr:rowOff>139790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12" name="Ink 11">
              <a:extLst>
                <a:ext uri="{FF2B5EF4-FFF2-40B4-BE49-F238E27FC236}">
                  <a16:creationId xmlns:a16="http://schemas.microsoft.com/office/drawing/2014/main" id="{F8AEF281-6997-4D02-8D47-5946F7061D06}"/>
                </a:ext>
              </a:extLst>
            </xdr14:cNvPr>
            <xdr14:cNvContentPartPr/>
          </xdr14:nvContentPartPr>
          <xdr14:nvPr macro=""/>
          <xdr14:xfrm>
            <a:off x="4755960" y="7530830"/>
            <a:ext cx="360" cy="360"/>
          </xdr14:xfrm>
        </xdr:contentPart>
      </mc:Choice>
      <mc:Fallback xmlns="">
        <xdr:pic>
          <xdr:nvPicPr>
            <xdr:cNvPr id="12" name="Ink 11">
              <a:extLst>
                <a:ext uri="{FF2B5EF4-FFF2-40B4-BE49-F238E27FC236}">
                  <a16:creationId xmlns:a16="http://schemas.microsoft.com/office/drawing/2014/main" id="{F8AEF281-6997-4D02-8D47-5946F7061D06}"/>
                </a:ext>
              </a:extLst>
            </xdr:cNvPr>
            <xdr:cNvPicPr/>
          </xdr:nvPicPr>
          <xdr:blipFill>
            <a:blip xmlns:r="http://schemas.openxmlformats.org/officeDocument/2006/relationships" r:embed="rId7"/>
            <a:stretch>
              <a:fillRect/>
            </a:stretch>
          </xdr:blipFill>
          <xdr:spPr>
            <a:xfrm>
              <a:off x="4751640" y="7526510"/>
              <a:ext cx="9000" cy="9000"/>
            </a:xfrm>
            <a:prstGeom prst="rect">
              <a:avLst/>
            </a:prstGeom>
          </xdr:spPr>
        </xdr:pic>
      </mc:Fallback>
    </mc:AlternateContent>
    <xdr:clientData/>
  </xdr:twoCellAnchor>
  <xdr:twoCellAnchor editAs="oneCell">
    <xdr:from>
      <xdr:col>5</xdr:col>
      <xdr:colOff>774490</xdr:colOff>
      <xdr:row>83</xdr:row>
      <xdr:rowOff>145720</xdr:rowOff>
    </xdr:from>
    <xdr:to>
      <xdr:col>5</xdr:col>
      <xdr:colOff>774850</xdr:colOff>
      <xdr:row>83</xdr:row>
      <xdr:rowOff>146080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5" name="Ink 14">
              <a:extLst>
                <a:ext uri="{FF2B5EF4-FFF2-40B4-BE49-F238E27FC236}">
                  <a16:creationId xmlns:a16="http://schemas.microsoft.com/office/drawing/2014/main" id="{094F430B-DDB9-4005-8D1B-9C9DE0A24562}"/>
                </a:ext>
              </a:extLst>
            </xdr14:cNvPr>
            <xdr14:cNvContentPartPr/>
          </xdr14:nvContentPartPr>
          <xdr14:nvPr macro=""/>
          <xdr14:xfrm>
            <a:off x="3752640" y="7721270"/>
            <a:ext cx="360" cy="360"/>
          </xdr14:xfrm>
        </xdr:contentPart>
      </mc:Choice>
      <mc:Fallback xmlns="">
        <xdr:pic>
          <xdr:nvPicPr>
            <xdr:cNvPr id="15" name="Ink 14">
              <a:extLst>
                <a:ext uri="{FF2B5EF4-FFF2-40B4-BE49-F238E27FC236}">
                  <a16:creationId xmlns:a16="http://schemas.microsoft.com/office/drawing/2014/main" id="{094F430B-DDB9-4005-8D1B-9C9DE0A24562}"/>
                </a:ext>
              </a:extLst>
            </xdr:cNvPr>
            <xdr:cNvPicPr/>
          </xdr:nvPicPr>
          <xdr:blipFill>
            <a:blip xmlns:r="http://schemas.openxmlformats.org/officeDocument/2006/relationships" r:embed="rId7"/>
            <a:stretch>
              <a:fillRect/>
            </a:stretch>
          </xdr:blipFill>
          <xdr:spPr>
            <a:xfrm>
              <a:off x="3748320" y="7716950"/>
              <a:ext cx="9000" cy="9000"/>
            </a:xfrm>
            <a:prstGeom prst="rect">
              <a:avLst/>
            </a:prstGeom>
          </xdr:spPr>
        </xdr:pic>
      </mc:Fallback>
    </mc:AlternateContent>
    <xdr:clientData/>
  </xdr:twoCellAnchor>
  <xdr:twoCellAnchor editAs="oneCell">
    <xdr:from>
      <xdr:col>6</xdr:col>
      <xdr:colOff>450720</xdr:colOff>
      <xdr:row>88</xdr:row>
      <xdr:rowOff>184010</xdr:rowOff>
    </xdr:from>
    <xdr:to>
      <xdr:col>6</xdr:col>
      <xdr:colOff>451080</xdr:colOff>
      <xdr:row>89</xdr:row>
      <xdr:rowOff>220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6" name="Ink 15">
              <a:extLst>
                <a:ext uri="{FF2B5EF4-FFF2-40B4-BE49-F238E27FC236}">
                  <a16:creationId xmlns:a16="http://schemas.microsoft.com/office/drawing/2014/main" id="{81891526-D676-463A-BA92-0BA5E417E7F3}"/>
                </a:ext>
              </a:extLst>
            </xdr14:cNvPr>
            <xdr14:cNvContentPartPr/>
          </xdr14:nvContentPartPr>
          <xdr14:nvPr macro=""/>
          <xdr14:xfrm>
            <a:off x="4565520" y="8680310"/>
            <a:ext cx="360" cy="360"/>
          </xdr14:xfrm>
        </xdr:contentPart>
      </mc:Choice>
      <mc:Fallback xmlns="">
        <xdr:pic>
          <xdr:nvPicPr>
            <xdr:cNvPr id="16" name="Ink 15">
              <a:extLst>
                <a:ext uri="{FF2B5EF4-FFF2-40B4-BE49-F238E27FC236}">
                  <a16:creationId xmlns:a16="http://schemas.microsoft.com/office/drawing/2014/main" id="{81891526-D676-463A-BA92-0BA5E417E7F3}"/>
                </a:ext>
              </a:extLst>
            </xdr:cNvPr>
            <xdr:cNvPicPr/>
          </xdr:nvPicPr>
          <xdr:blipFill>
            <a:blip xmlns:r="http://schemas.openxmlformats.org/officeDocument/2006/relationships" r:embed="rId7"/>
            <a:stretch>
              <a:fillRect/>
            </a:stretch>
          </xdr:blipFill>
          <xdr:spPr>
            <a:xfrm>
              <a:off x="4561200" y="8675990"/>
              <a:ext cx="9000" cy="9000"/>
            </a:xfrm>
            <a:prstGeom prst="rect">
              <a:avLst/>
            </a:prstGeom>
          </xdr:spPr>
        </xdr:pic>
      </mc:Fallback>
    </mc:AlternateContent>
    <xdr:clientData/>
  </xdr:twoCellAnchor>
  <xdr:twoCellAnchor editAs="oneCell">
    <xdr:from>
      <xdr:col>6</xdr:col>
      <xdr:colOff>622080</xdr:colOff>
      <xdr:row>82</xdr:row>
      <xdr:rowOff>12560</xdr:rowOff>
    </xdr:from>
    <xdr:to>
      <xdr:col>6</xdr:col>
      <xdr:colOff>622440</xdr:colOff>
      <xdr:row>82</xdr:row>
      <xdr:rowOff>12920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8" name="Ink 17">
              <a:extLst>
                <a:ext uri="{FF2B5EF4-FFF2-40B4-BE49-F238E27FC236}">
                  <a16:creationId xmlns:a16="http://schemas.microsoft.com/office/drawing/2014/main" id="{F0FCADD9-2D12-455B-9BFF-0D8B4DBE7E93}"/>
                </a:ext>
              </a:extLst>
            </xdr14:cNvPr>
            <xdr14:cNvContentPartPr/>
          </xdr14:nvContentPartPr>
          <xdr14:nvPr macro=""/>
          <xdr14:xfrm>
            <a:off x="4736880" y="7403960"/>
            <a:ext cx="360" cy="360"/>
          </xdr14:xfrm>
        </xdr:contentPart>
      </mc:Choice>
      <mc:Fallback xmlns="">
        <xdr:pic>
          <xdr:nvPicPr>
            <xdr:cNvPr id="18" name="Ink 17">
              <a:extLst>
                <a:ext uri="{FF2B5EF4-FFF2-40B4-BE49-F238E27FC236}">
                  <a16:creationId xmlns:a16="http://schemas.microsoft.com/office/drawing/2014/main" id="{F0FCADD9-2D12-455B-9BFF-0D8B4DBE7E93}"/>
                </a:ext>
              </a:extLst>
            </xdr:cNvPr>
            <xdr:cNvPicPr/>
          </xdr:nvPicPr>
          <xdr:blipFill>
            <a:blip xmlns:r="http://schemas.openxmlformats.org/officeDocument/2006/relationships" r:embed="rId7"/>
            <a:stretch>
              <a:fillRect/>
            </a:stretch>
          </xdr:blipFill>
          <xdr:spPr>
            <a:xfrm>
              <a:off x="4732560" y="7399640"/>
              <a:ext cx="9000" cy="9000"/>
            </a:xfrm>
            <a:prstGeom prst="rect">
              <a:avLst/>
            </a:prstGeom>
          </xdr:spPr>
        </xdr:pic>
      </mc:Fallback>
    </mc:AlternateContent>
    <xdr:clientData/>
  </xdr:twoCellAnchor>
  <xdr:twoCellAnchor editAs="oneCell">
    <xdr:from>
      <xdr:col>17</xdr:col>
      <xdr:colOff>75980</xdr:colOff>
      <xdr:row>83</xdr:row>
      <xdr:rowOff>133330</xdr:rowOff>
    </xdr:from>
    <xdr:to>
      <xdr:col>17</xdr:col>
      <xdr:colOff>76340</xdr:colOff>
      <xdr:row>83</xdr:row>
      <xdr:rowOff>133690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20" name="Ink 19">
              <a:extLst>
                <a:ext uri="{FF2B5EF4-FFF2-40B4-BE49-F238E27FC236}">
                  <a16:creationId xmlns:a16="http://schemas.microsoft.com/office/drawing/2014/main" id="{D54B52B2-9C93-4BBC-A60C-187DF3D405F6}"/>
                </a:ext>
              </a:extLst>
            </xdr14:cNvPr>
            <xdr14:cNvContentPartPr/>
          </xdr14:nvContentPartPr>
          <xdr14:nvPr macro=""/>
          <xdr14:xfrm>
            <a:off x="9994680" y="7708880"/>
            <a:ext cx="360" cy="360"/>
          </xdr14:xfrm>
        </xdr:contentPart>
      </mc:Choice>
      <mc:Fallback xmlns="">
        <xdr:pic>
          <xdr:nvPicPr>
            <xdr:cNvPr id="20" name="Ink 19">
              <a:extLst>
                <a:ext uri="{FF2B5EF4-FFF2-40B4-BE49-F238E27FC236}">
                  <a16:creationId xmlns:a16="http://schemas.microsoft.com/office/drawing/2014/main" id="{D54B52B2-9C93-4BBC-A60C-187DF3D405F6}"/>
                </a:ext>
              </a:extLst>
            </xdr:cNvPr>
            <xdr:cNvPicPr/>
          </xdr:nvPicPr>
          <xdr:blipFill>
            <a:blip xmlns:r="http://schemas.openxmlformats.org/officeDocument/2006/relationships" r:embed="rId7"/>
            <a:stretch>
              <a:fillRect/>
            </a:stretch>
          </xdr:blipFill>
          <xdr:spPr>
            <a:xfrm>
              <a:off x="9990360" y="7704560"/>
              <a:ext cx="9000" cy="900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536575</xdr:colOff>
      <xdr:row>2</xdr:row>
      <xdr:rowOff>53975</xdr:rowOff>
    </xdr:from>
    <xdr:to>
      <xdr:col>13</xdr:col>
      <xdr:colOff>231775</xdr:colOff>
      <xdr:row>17</xdr:row>
      <xdr:rowOff>34925</xdr:rowOff>
    </xdr:to>
    <xdr:graphicFrame macro="">
      <xdr:nvGraphicFramePr>
        <xdr:cNvPr id="3" name="Chart 2">
          <a:extLst>
            <a:ext uri="{FF2B5EF4-FFF2-40B4-BE49-F238E27FC236}">
              <a16:creationId xmlns:a16="http://schemas.microsoft.com/office/drawing/2014/main" id="{393D06E9-C580-459F-852E-0AC9D4B4F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562560</xdr:colOff>
      <xdr:row>12</xdr:row>
      <xdr:rowOff>173530</xdr:rowOff>
    </xdr:from>
    <xdr:to>
      <xdr:col>7</xdr:col>
      <xdr:colOff>589560</xdr:colOff>
      <xdr:row>15</xdr:row>
      <xdr:rowOff>91960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nk 3">
              <a:extLst>
                <a:ext uri="{FF2B5EF4-FFF2-40B4-BE49-F238E27FC236}">
                  <a16:creationId xmlns:a16="http://schemas.microsoft.com/office/drawing/2014/main" id="{F5A1FC31-4349-4F1A-B672-38376C304DEB}"/>
                </a:ext>
              </a:extLst>
            </xdr14:cNvPr>
            <xdr14:cNvContentPartPr/>
          </xdr14:nvContentPartPr>
          <xdr14:nvPr macro=""/>
          <xdr14:xfrm>
            <a:off x="4829760" y="2389680"/>
            <a:ext cx="27000" cy="470880"/>
          </xdr14:xfrm>
        </xdr:contentPart>
      </mc:Choice>
      <mc:Fallback xmlns="">
        <xdr:pic>
          <xdr:nvPicPr>
            <xdr:cNvPr id="4" name="Ink 3">
              <a:extLst>
                <a:ext uri="{FF2B5EF4-FFF2-40B4-BE49-F238E27FC236}">
                  <a16:creationId xmlns:a16="http://schemas.microsoft.com/office/drawing/2014/main" id="{F5A1FC31-4349-4F1A-B672-38376C304DEB}"/>
                </a:ext>
              </a:extLst>
            </xdr:cNvPr>
            <xdr:cNvPicPr/>
          </xdr:nvPicPr>
          <xdr:blipFill>
            <a:blip xmlns:r="http://schemas.openxmlformats.org/officeDocument/2006/relationships" r:embed="rId3"/>
            <a:stretch>
              <a:fillRect/>
            </a:stretch>
          </xdr:blipFill>
          <xdr:spPr>
            <a:xfrm>
              <a:off x="4821120" y="2381040"/>
              <a:ext cx="44640" cy="488520"/>
            </a:xfrm>
            <a:prstGeom prst="rect">
              <a:avLst/>
            </a:prstGeom>
          </xdr:spPr>
        </xdr:pic>
      </mc:Fallback>
    </mc:AlternateContent>
    <xdr:clientData/>
  </xdr:twoCellAnchor>
  <xdr:twoCellAnchor editAs="oneCell">
    <xdr:from>
      <xdr:col>6</xdr:col>
      <xdr:colOff>140040</xdr:colOff>
      <xdr:row>12</xdr:row>
      <xdr:rowOff>136810</xdr:rowOff>
    </xdr:from>
    <xdr:to>
      <xdr:col>7</xdr:col>
      <xdr:colOff>570120</xdr:colOff>
      <xdr:row>13</xdr:row>
      <xdr:rowOff>26820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5" name="Ink 4">
              <a:extLst>
                <a:ext uri="{FF2B5EF4-FFF2-40B4-BE49-F238E27FC236}">
                  <a16:creationId xmlns:a16="http://schemas.microsoft.com/office/drawing/2014/main" id="{552A69AB-B012-4554-B084-303CFA612D48}"/>
                </a:ext>
              </a:extLst>
            </xdr14:cNvPr>
            <xdr14:cNvContentPartPr/>
          </xdr14:nvContentPartPr>
          <xdr14:nvPr macro=""/>
          <xdr14:xfrm>
            <a:off x="3797640" y="2352960"/>
            <a:ext cx="1039680" cy="74160"/>
          </xdr14:xfrm>
        </xdr:contentPart>
      </mc:Choice>
      <mc:Fallback xmlns="">
        <xdr:pic>
          <xdr:nvPicPr>
            <xdr:cNvPr id="5" name="Ink 4">
              <a:extLst>
                <a:ext uri="{FF2B5EF4-FFF2-40B4-BE49-F238E27FC236}">
                  <a16:creationId xmlns:a16="http://schemas.microsoft.com/office/drawing/2014/main" id="{552A69AB-B012-4554-B084-303CFA612D48}"/>
                </a:ext>
              </a:extLst>
            </xdr:cNvPr>
            <xdr:cNvPicPr/>
          </xdr:nvPicPr>
          <xdr:blipFill>
            <a:blip xmlns:r="http://schemas.openxmlformats.org/officeDocument/2006/relationships" r:embed="rId5"/>
            <a:stretch>
              <a:fillRect/>
            </a:stretch>
          </xdr:blipFill>
          <xdr:spPr>
            <a:xfrm>
              <a:off x="3789000" y="2344320"/>
              <a:ext cx="1057320" cy="91800"/>
            </a:xfrm>
            <a:prstGeom prst="rect">
              <a:avLst/>
            </a:prstGeom>
          </xdr:spPr>
        </xdr:pic>
      </mc:Fallback>
    </mc:AlternateContent>
    <xdr:clientData/>
  </xdr:twoCellAnchor>
  <xdr:twoCellAnchor editAs="oneCell">
    <xdr:from>
      <xdr:col>12</xdr:col>
      <xdr:colOff>167040</xdr:colOff>
      <xdr:row>6</xdr:row>
      <xdr:rowOff>71710</xdr:rowOff>
    </xdr:from>
    <xdr:to>
      <xdr:col>12</xdr:col>
      <xdr:colOff>183600</xdr:colOff>
      <xdr:row>6</xdr:row>
      <xdr:rowOff>83590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6" name="Ink 5">
              <a:extLst>
                <a:ext uri="{FF2B5EF4-FFF2-40B4-BE49-F238E27FC236}">
                  <a16:creationId xmlns:a16="http://schemas.microsoft.com/office/drawing/2014/main" id="{45B76422-DC28-4FC2-A467-A0E40654052D}"/>
                </a:ext>
              </a:extLst>
            </xdr14:cNvPr>
            <xdr14:cNvContentPartPr/>
          </xdr14:nvContentPartPr>
          <xdr14:nvPr macro=""/>
          <xdr14:xfrm>
            <a:off x="7482240" y="1182960"/>
            <a:ext cx="16560" cy="11880"/>
          </xdr14:xfrm>
        </xdr:contentPart>
      </mc:Choice>
      <mc:Fallback xmlns="">
        <xdr:pic>
          <xdr:nvPicPr>
            <xdr:cNvPr id="6" name="Ink 5">
              <a:extLst>
                <a:ext uri="{FF2B5EF4-FFF2-40B4-BE49-F238E27FC236}">
                  <a16:creationId xmlns:a16="http://schemas.microsoft.com/office/drawing/2014/main" id="{45B76422-DC28-4FC2-A467-A0E40654052D}"/>
                </a:ext>
              </a:extLst>
            </xdr:cNvPr>
            <xdr:cNvPicPr/>
          </xdr:nvPicPr>
          <xdr:blipFill>
            <a:blip xmlns:r="http://schemas.openxmlformats.org/officeDocument/2006/relationships" r:embed="rId7"/>
            <a:stretch>
              <a:fillRect/>
            </a:stretch>
          </xdr:blipFill>
          <xdr:spPr>
            <a:xfrm>
              <a:off x="7473600" y="1173960"/>
              <a:ext cx="34200" cy="29520"/>
            </a:xfrm>
            <a:prstGeom prst="rect">
              <a:avLst/>
            </a:prstGeom>
          </xdr:spPr>
        </xdr:pic>
      </mc:Fallback>
    </mc:AlternateContent>
    <xdr:clientData/>
  </xdr:twoCellAnchor>
  <xdr:twoCellAnchor editAs="oneCell">
    <xdr:from>
      <xdr:col>1</xdr:col>
      <xdr:colOff>138840</xdr:colOff>
      <xdr:row>12</xdr:row>
      <xdr:rowOff>19810</xdr:rowOff>
    </xdr:from>
    <xdr:to>
      <xdr:col>1</xdr:col>
      <xdr:colOff>542400</xdr:colOff>
      <xdr:row>13</xdr:row>
      <xdr:rowOff>167580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D3B24E67-BBF3-4DFD-9A26-E30FD3B341C3}"/>
                </a:ext>
              </a:extLst>
            </xdr14:cNvPr>
            <xdr14:cNvContentPartPr/>
          </xdr14:nvContentPartPr>
          <xdr14:nvPr macro=""/>
          <xdr14:xfrm>
            <a:off x="748440" y="2235960"/>
            <a:ext cx="403560" cy="331920"/>
          </xdr14:xfrm>
        </xdr:contentPart>
      </mc:Choice>
      <mc:Fallback xmlns="">
        <xdr:pic>
          <xdr:nvPicPr>
            <xdr:cNvPr id="9" name="Ink 8">
              <a:extLst>
                <a:ext uri="{FF2B5EF4-FFF2-40B4-BE49-F238E27FC236}">
                  <a16:creationId xmlns:a16="http://schemas.microsoft.com/office/drawing/2014/main" id="{D3B24E67-BBF3-4DFD-9A26-E30FD3B341C3}"/>
                </a:ext>
              </a:extLst>
            </xdr:cNvPr>
            <xdr:cNvPicPr/>
          </xdr:nvPicPr>
          <xdr:blipFill>
            <a:blip xmlns:r="http://schemas.openxmlformats.org/officeDocument/2006/relationships" r:embed="rId9"/>
            <a:stretch>
              <a:fillRect/>
            </a:stretch>
          </xdr:blipFill>
          <xdr:spPr>
            <a:xfrm>
              <a:off x="739448" y="2227311"/>
              <a:ext cx="421184" cy="349579"/>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377825</xdr:colOff>
      <xdr:row>0</xdr:row>
      <xdr:rowOff>0</xdr:rowOff>
    </xdr:from>
    <xdr:to>
      <xdr:col>18</xdr:col>
      <xdr:colOff>73025</xdr:colOff>
      <xdr:row>21</xdr:row>
      <xdr:rowOff>165100</xdr:rowOff>
    </xdr:to>
    <xdr:graphicFrame macro="">
      <xdr:nvGraphicFramePr>
        <xdr:cNvPr id="3" name="Chart 2">
          <a:extLst>
            <a:ext uri="{FF2B5EF4-FFF2-40B4-BE49-F238E27FC236}">
              <a16:creationId xmlns:a16="http://schemas.microsoft.com/office/drawing/2014/main" id="{5EC8CEE8-E758-4B69-81E6-DC71F1F790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29</xdr:row>
      <xdr:rowOff>0</xdr:rowOff>
    </xdr:from>
    <xdr:to>
      <xdr:col>13</xdr:col>
      <xdr:colOff>317389</xdr:colOff>
      <xdr:row>47</xdr:row>
      <xdr:rowOff>178611</xdr:rowOff>
    </xdr:to>
    <xdr:pic>
      <xdr:nvPicPr>
        <xdr:cNvPr id="5" name="Picture 4">
          <a:extLst>
            <a:ext uri="{FF2B5EF4-FFF2-40B4-BE49-F238E27FC236}">
              <a16:creationId xmlns:a16="http://schemas.microsoft.com/office/drawing/2014/main" id="{FC0DA579-A7D4-4068-B2D0-206ED822769D}"/>
            </a:ext>
          </a:extLst>
        </xdr:cNvPr>
        <xdr:cNvPicPr>
          <a:picLocks noChangeAspect="1"/>
        </xdr:cNvPicPr>
      </xdr:nvPicPr>
      <xdr:blipFill>
        <a:blip xmlns:r="http://schemas.openxmlformats.org/officeDocument/2006/relationships" r:embed="rId2"/>
        <a:stretch>
          <a:fillRect/>
        </a:stretch>
      </xdr:blipFill>
      <xdr:spPr>
        <a:xfrm>
          <a:off x="3657600" y="4787900"/>
          <a:ext cx="4584589" cy="3493311"/>
        </a:xfrm>
        <a:prstGeom prst="rect">
          <a:avLst/>
        </a:prstGeom>
      </xdr:spPr>
    </xdr:pic>
    <xdr:clientData/>
  </xdr:twoCellAnchor>
  <xdr:twoCellAnchor>
    <xdr:from>
      <xdr:col>11</xdr:col>
      <xdr:colOff>196850</xdr:colOff>
      <xdr:row>50</xdr:row>
      <xdr:rowOff>139700</xdr:rowOff>
    </xdr:from>
    <xdr:to>
      <xdr:col>18</xdr:col>
      <xdr:colOff>501650</xdr:colOff>
      <xdr:row>65</xdr:row>
      <xdr:rowOff>120650</xdr:rowOff>
    </xdr:to>
    <xdr:graphicFrame macro="">
      <xdr:nvGraphicFramePr>
        <xdr:cNvPr id="6" name="Chart 5">
          <a:extLst>
            <a:ext uri="{FF2B5EF4-FFF2-40B4-BE49-F238E27FC236}">
              <a16:creationId xmlns:a16="http://schemas.microsoft.com/office/drawing/2014/main" id="{C9B6068E-26D6-47ED-9E3C-9334EAA39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387000</xdr:colOff>
      <xdr:row>37</xdr:row>
      <xdr:rowOff>158510</xdr:rowOff>
    </xdr:from>
    <xdr:to>
      <xdr:col>6</xdr:col>
      <xdr:colOff>387360</xdr:colOff>
      <xdr:row>37</xdr:row>
      <xdr:rowOff>158870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7" name="Ink 6">
              <a:extLst>
                <a:ext uri="{FF2B5EF4-FFF2-40B4-BE49-F238E27FC236}">
                  <a16:creationId xmlns:a16="http://schemas.microsoft.com/office/drawing/2014/main" id="{374C4000-14D4-4DEB-9160-6A544ACD83F9}"/>
                </a:ext>
              </a:extLst>
            </xdr14:cNvPr>
            <xdr14:cNvContentPartPr/>
          </xdr14:nvContentPartPr>
          <xdr14:nvPr macro=""/>
          <xdr14:xfrm>
            <a:off x="4044600" y="6419610"/>
            <a:ext cx="360" cy="360"/>
          </xdr14:xfrm>
        </xdr:contentPart>
      </mc:Choice>
      <mc:Fallback xmlns="">
        <xdr:pic>
          <xdr:nvPicPr>
            <xdr:cNvPr id="7" name="Ink 6">
              <a:extLst>
                <a:ext uri="{FF2B5EF4-FFF2-40B4-BE49-F238E27FC236}">
                  <a16:creationId xmlns:a16="http://schemas.microsoft.com/office/drawing/2014/main" id="{374C4000-14D4-4DEB-9160-6A544ACD83F9}"/>
                </a:ext>
              </a:extLst>
            </xdr:cNvPr>
            <xdr:cNvPicPr/>
          </xdr:nvPicPr>
          <xdr:blipFill>
            <a:blip xmlns:r="http://schemas.openxmlformats.org/officeDocument/2006/relationships" r:embed="rId5"/>
            <a:stretch>
              <a:fillRect/>
            </a:stretch>
          </xdr:blipFill>
          <xdr:spPr>
            <a:xfrm>
              <a:off x="4040280" y="6415290"/>
              <a:ext cx="9000" cy="9000"/>
            </a:xfrm>
            <a:prstGeom prst="rect">
              <a:avLst/>
            </a:prstGeom>
          </xdr:spPr>
        </xdr:pic>
      </mc:Fallback>
    </mc:AlternateContent>
    <xdr:clientData/>
  </xdr:twoCellAnchor>
  <xdr:twoCellAnchor editAs="oneCell">
    <xdr:from>
      <xdr:col>6</xdr:col>
      <xdr:colOff>323640</xdr:colOff>
      <xdr:row>38</xdr:row>
      <xdr:rowOff>5320</xdr:rowOff>
    </xdr:from>
    <xdr:to>
      <xdr:col>13</xdr:col>
      <xdr:colOff>173760</xdr:colOff>
      <xdr:row>38</xdr:row>
      <xdr:rowOff>57160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63B592F-8F59-4A10-A014-184A3CCD3281}"/>
                </a:ext>
              </a:extLst>
            </xdr14:cNvPr>
            <xdr14:cNvContentPartPr/>
          </xdr14:nvContentPartPr>
          <xdr14:nvPr macro=""/>
          <xdr14:xfrm>
            <a:off x="3981240" y="6450570"/>
            <a:ext cx="4117320" cy="51840"/>
          </xdr14:xfrm>
        </xdr:contentPart>
      </mc:Choice>
      <mc:Fallback xmlns="">
        <xdr:pic>
          <xdr:nvPicPr>
            <xdr:cNvPr id="8" name="Ink 7">
              <a:extLst>
                <a:ext uri="{FF2B5EF4-FFF2-40B4-BE49-F238E27FC236}">
                  <a16:creationId xmlns:a16="http://schemas.microsoft.com/office/drawing/2014/main" id="{663B592F-8F59-4A10-A014-184A3CCD3281}"/>
                </a:ext>
              </a:extLst>
            </xdr:cNvPr>
            <xdr:cNvPicPr/>
          </xdr:nvPicPr>
          <xdr:blipFill>
            <a:blip xmlns:r="http://schemas.openxmlformats.org/officeDocument/2006/relationships" r:embed="rId7"/>
            <a:stretch>
              <a:fillRect/>
            </a:stretch>
          </xdr:blipFill>
          <xdr:spPr>
            <a:xfrm>
              <a:off x="3976920" y="6446250"/>
              <a:ext cx="4125960" cy="60480"/>
            </a:xfrm>
            <a:prstGeom prst="rect">
              <a:avLst/>
            </a:prstGeom>
          </xdr:spPr>
        </xdr:pic>
      </mc:Fallback>
    </mc:AlternateContent>
    <xdr:clientData/>
  </xdr:twoCellAnchor>
  <xdr:twoCellAnchor editAs="oneCell">
    <xdr:from>
      <xdr:col>6</xdr:col>
      <xdr:colOff>298080</xdr:colOff>
      <xdr:row>37</xdr:row>
      <xdr:rowOff>155270</xdr:rowOff>
    </xdr:from>
    <xdr:to>
      <xdr:col>7</xdr:col>
      <xdr:colOff>304800</xdr:colOff>
      <xdr:row>42</xdr:row>
      <xdr:rowOff>46320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F5DC100B-F3C7-46AD-BEC1-034A366A3958}"/>
                </a:ext>
              </a:extLst>
            </xdr14:cNvPr>
            <xdr14:cNvContentPartPr/>
          </xdr14:nvContentPartPr>
          <xdr14:nvPr macro=""/>
          <xdr14:xfrm>
            <a:off x="3955680" y="6416370"/>
            <a:ext cx="616320" cy="811800"/>
          </xdr14:xfrm>
        </xdr:contentPart>
      </mc:Choice>
      <mc:Fallback xmlns="">
        <xdr:pic>
          <xdr:nvPicPr>
            <xdr:cNvPr id="9" name="Ink 8">
              <a:extLst>
                <a:ext uri="{FF2B5EF4-FFF2-40B4-BE49-F238E27FC236}">
                  <a16:creationId xmlns:a16="http://schemas.microsoft.com/office/drawing/2014/main" id="{F5DC100B-F3C7-46AD-BEC1-034A366A3958}"/>
                </a:ext>
              </a:extLst>
            </xdr:cNvPr>
            <xdr:cNvPicPr/>
          </xdr:nvPicPr>
          <xdr:blipFill>
            <a:blip xmlns:r="http://schemas.openxmlformats.org/officeDocument/2006/relationships" r:embed="rId9"/>
            <a:stretch>
              <a:fillRect/>
            </a:stretch>
          </xdr:blipFill>
          <xdr:spPr>
            <a:xfrm>
              <a:off x="3951360" y="6412050"/>
              <a:ext cx="624960" cy="820440"/>
            </a:xfrm>
            <a:prstGeom prst="rect">
              <a:avLst/>
            </a:prstGeom>
          </xdr:spPr>
        </xdr:pic>
      </mc:Fallback>
    </mc:AlternateContent>
    <xdr:clientData/>
  </xdr:twoCellAnchor>
  <xdr:twoCellAnchor editAs="oneCell">
    <xdr:from>
      <xdr:col>7</xdr:col>
      <xdr:colOff>222720</xdr:colOff>
      <xdr:row>32</xdr:row>
      <xdr:rowOff>62620</xdr:rowOff>
    </xdr:from>
    <xdr:to>
      <xdr:col>8</xdr:col>
      <xdr:colOff>261120</xdr:colOff>
      <xdr:row>37</xdr:row>
      <xdr:rowOff>153110</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956C5B60-A6D4-4EF8-8DC0-11DA685C42A0}"/>
                </a:ext>
              </a:extLst>
            </xdr14:cNvPr>
            <xdr14:cNvContentPartPr/>
          </xdr14:nvContentPartPr>
          <xdr14:nvPr macro=""/>
          <xdr14:xfrm>
            <a:off x="4489920" y="5402970"/>
            <a:ext cx="648000" cy="1011240"/>
          </xdr14:xfrm>
        </xdr:contentPart>
      </mc:Choice>
      <mc:Fallback xmlns="">
        <xdr:pic>
          <xdr:nvPicPr>
            <xdr:cNvPr id="10" name="Ink 9">
              <a:extLst>
                <a:ext uri="{FF2B5EF4-FFF2-40B4-BE49-F238E27FC236}">
                  <a16:creationId xmlns:a16="http://schemas.microsoft.com/office/drawing/2014/main" id="{956C5B60-A6D4-4EF8-8DC0-11DA685C42A0}"/>
                </a:ext>
              </a:extLst>
            </xdr:cNvPr>
            <xdr:cNvPicPr/>
          </xdr:nvPicPr>
          <xdr:blipFill>
            <a:blip xmlns:r="http://schemas.openxmlformats.org/officeDocument/2006/relationships" r:embed="rId11"/>
            <a:stretch>
              <a:fillRect/>
            </a:stretch>
          </xdr:blipFill>
          <xdr:spPr>
            <a:xfrm>
              <a:off x="4485600" y="5398650"/>
              <a:ext cx="656640" cy="1019880"/>
            </a:xfrm>
            <a:prstGeom prst="rect">
              <a:avLst/>
            </a:prstGeom>
          </xdr:spPr>
        </xdr:pic>
      </mc:Fallback>
    </mc:AlternateContent>
    <xdr:clientData/>
  </xdr:twoCellAnchor>
  <xdr:twoCellAnchor editAs="oneCell">
    <xdr:from>
      <xdr:col>11</xdr:col>
      <xdr:colOff>19050</xdr:colOff>
      <xdr:row>137</xdr:row>
      <xdr:rowOff>57150</xdr:rowOff>
    </xdr:from>
    <xdr:to>
      <xdr:col>18</xdr:col>
      <xdr:colOff>336439</xdr:colOff>
      <xdr:row>155</xdr:row>
      <xdr:rowOff>121461</xdr:rowOff>
    </xdr:to>
    <xdr:pic>
      <xdr:nvPicPr>
        <xdr:cNvPr id="21" name="Picture 20">
          <a:extLst>
            <a:ext uri="{FF2B5EF4-FFF2-40B4-BE49-F238E27FC236}">
              <a16:creationId xmlns:a16="http://schemas.microsoft.com/office/drawing/2014/main" id="{9F03E97A-C63B-4E19-BFDF-02FC08BBADE0}"/>
            </a:ext>
          </a:extLst>
        </xdr:cNvPr>
        <xdr:cNvPicPr>
          <a:picLocks noChangeAspect="1"/>
        </xdr:cNvPicPr>
      </xdr:nvPicPr>
      <xdr:blipFill>
        <a:blip xmlns:r="http://schemas.openxmlformats.org/officeDocument/2006/relationships" r:embed="rId2"/>
        <a:stretch>
          <a:fillRect/>
        </a:stretch>
      </xdr:blipFill>
      <xdr:spPr>
        <a:xfrm>
          <a:off x="6724650" y="25285700"/>
          <a:ext cx="4584589" cy="3493311"/>
        </a:xfrm>
        <a:prstGeom prst="rect">
          <a:avLst/>
        </a:prstGeom>
      </xdr:spPr>
    </xdr:pic>
    <xdr:clientData/>
  </xdr:twoCellAnchor>
  <xdr:twoCellAnchor editAs="oneCell">
    <xdr:from>
      <xdr:col>11</xdr:col>
      <xdr:colOff>304590</xdr:colOff>
      <xdr:row>145</xdr:row>
      <xdr:rowOff>145020</xdr:rowOff>
    </xdr:from>
    <xdr:to>
      <xdr:col>18</xdr:col>
      <xdr:colOff>154710</xdr:colOff>
      <xdr:row>146</xdr:row>
      <xdr:rowOff>12710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22" name="Ink 21">
              <a:extLst>
                <a:ext uri="{FF2B5EF4-FFF2-40B4-BE49-F238E27FC236}">
                  <a16:creationId xmlns:a16="http://schemas.microsoft.com/office/drawing/2014/main" id="{2AA7BCC3-144F-47EB-B827-3727293C8281}"/>
                </a:ext>
              </a:extLst>
            </xdr14:cNvPr>
            <xdr14:cNvContentPartPr/>
          </xdr14:nvContentPartPr>
          <xdr14:nvPr macro=""/>
          <xdr14:xfrm>
            <a:off x="7010190" y="26961070"/>
            <a:ext cx="4117320" cy="51840"/>
          </xdr14:xfrm>
        </xdr:contentPart>
      </mc:Choice>
      <mc:Fallback xmlns="">
        <xdr:pic>
          <xdr:nvPicPr>
            <xdr:cNvPr id="8" name="Ink 7">
              <a:extLst>
                <a:ext uri="{FF2B5EF4-FFF2-40B4-BE49-F238E27FC236}">
                  <a16:creationId xmlns:a16="http://schemas.microsoft.com/office/drawing/2014/main" id="{663B592F-8F59-4A10-A014-184A3CCD3281}"/>
                </a:ext>
              </a:extLst>
            </xdr:cNvPr>
            <xdr:cNvPicPr/>
          </xdr:nvPicPr>
          <xdr:blipFill>
            <a:blip xmlns:r="http://schemas.openxmlformats.org/officeDocument/2006/relationships" r:embed="rId7"/>
            <a:stretch>
              <a:fillRect/>
            </a:stretch>
          </xdr:blipFill>
          <xdr:spPr>
            <a:xfrm>
              <a:off x="3976920" y="6446250"/>
              <a:ext cx="4125960" cy="60480"/>
            </a:xfrm>
            <a:prstGeom prst="rect">
              <a:avLst/>
            </a:prstGeom>
          </xdr:spPr>
        </xdr:pic>
      </mc:Fallback>
    </mc:AlternateContent>
    <xdr:clientData/>
  </xdr:twoCellAnchor>
  <xdr:twoCellAnchor editAs="oneCell">
    <xdr:from>
      <xdr:col>11</xdr:col>
      <xdr:colOff>279030</xdr:colOff>
      <xdr:row>145</xdr:row>
      <xdr:rowOff>110820</xdr:rowOff>
    </xdr:from>
    <xdr:to>
      <xdr:col>12</xdr:col>
      <xdr:colOff>285750</xdr:colOff>
      <xdr:row>150</xdr:row>
      <xdr:rowOff>1870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23" name="Ink 22">
              <a:extLst>
                <a:ext uri="{FF2B5EF4-FFF2-40B4-BE49-F238E27FC236}">
                  <a16:creationId xmlns:a16="http://schemas.microsoft.com/office/drawing/2014/main" id="{6E178895-D242-495A-9D95-E5A5523B61E8}"/>
                </a:ext>
              </a:extLst>
            </xdr14:cNvPr>
            <xdr14:cNvContentPartPr/>
          </xdr14:nvContentPartPr>
          <xdr14:nvPr macro=""/>
          <xdr14:xfrm>
            <a:off x="6984630" y="26926870"/>
            <a:ext cx="616320" cy="811800"/>
          </xdr14:xfrm>
        </xdr:contentPart>
      </mc:Choice>
      <mc:Fallback xmlns="">
        <xdr:pic>
          <xdr:nvPicPr>
            <xdr:cNvPr id="9" name="Ink 8">
              <a:extLst>
                <a:ext uri="{FF2B5EF4-FFF2-40B4-BE49-F238E27FC236}">
                  <a16:creationId xmlns:a16="http://schemas.microsoft.com/office/drawing/2014/main" id="{F5DC100B-F3C7-46AD-BEC1-034A366A3958}"/>
                </a:ext>
              </a:extLst>
            </xdr:cNvPr>
            <xdr:cNvPicPr/>
          </xdr:nvPicPr>
          <xdr:blipFill>
            <a:blip xmlns:r="http://schemas.openxmlformats.org/officeDocument/2006/relationships" r:embed="rId9"/>
            <a:stretch>
              <a:fillRect/>
            </a:stretch>
          </xdr:blipFill>
          <xdr:spPr>
            <a:xfrm>
              <a:off x="3951360" y="6412050"/>
              <a:ext cx="624960" cy="820440"/>
            </a:xfrm>
            <a:prstGeom prst="rect">
              <a:avLst/>
            </a:prstGeom>
          </xdr:spPr>
        </xdr:pic>
      </mc:Fallback>
    </mc:AlternateContent>
    <xdr:clientData/>
  </xdr:twoCellAnchor>
  <xdr:twoCellAnchor editAs="oneCell">
    <xdr:from>
      <xdr:col>12</xdr:col>
      <xdr:colOff>203670</xdr:colOff>
      <xdr:row>140</xdr:row>
      <xdr:rowOff>18170</xdr:rowOff>
    </xdr:from>
    <xdr:to>
      <xdr:col>13</xdr:col>
      <xdr:colOff>242070</xdr:colOff>
      <xdr:row>145</xdr:row>
      <xdr:rowOff>108660</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24" name="Ink 23">
              <a:extLst>
                <a:ext uri="{FF2B5EF4-FFF2-40B4-BE49-F238E27FC236}">
                  <a16:creationId xmlns:a16="http://schemas.microsoft.com/office/drawing/2014/main" id="{B95D1867-D0C1-4130-BBD1-522A13BE8467}"/>
                </a:ext>
              </a:extLst>
            </xdr14:cNvPr>
            <xdr14:cNvContentPartPr/>
          </xdr14:nvContentPartPr>
          <xdr14:nvPr macro=""/>
          <xdr14:xfrm>
            <a:off x="7518870" y="25913470"/>
            <a:ext cx="648000" cy="1011240"/>
          </xdr14:xfrm>
        </xdr:contentPart>
      </mc:Choice>
      <mc:Fallback xmlns="">
        <xdr:pic>
          <xdr:nvPicPr>
            <xdr:cNvPr id="10" name="Ink 9">
              <a:extLst>
                <a:ext uri="{FF2B5EF4-FFF2-40B4-BE49-F238E27FC236}">
                  <a16:creationId xmlns:a16="http://schemas.microsoft.com/office/drawing/2014/main" id="{956C5B60-A6D4-4EF8-8DC0-11DA685C42A0}"/>
                </a:ext>
              </a:extLst>
            </xdr:cNvPr>
            <xdr:cNvPicPr/>
          </xdr:nvPicPr>
          <xdr:blipFill>
            <a:blip xmlns:r="http://schemas.openxmlformats.org/officeDocument/2006/relationships" r:embed="rId11"/>
            <a:stretch>
              <a:fillRect/>
            </a:stretch>
          </xdr:blipFill>
          <xdr:spPr>
            <a:xfrm>
              <a:off x="4485600" y="5398650"/>
              <a:ext cx="656640" cy="101988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4-17T16:43:54.582"/>
    </inkml:context>
    <inkml:brush xml:id="br0">
      <inkml:brushProperty name="width" value="0.025" units="cm"/>
      <inkml:brushProperty name="height" value="0.025" units="cm"/>
      <inkml:brushProperty name="ignorePressure" value="1"/>
    </inkml:brush>
  </inkml:definitions>
  <inkml:trace contextRef="#ctx0" brushRef="#br0">0 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4-17T16:44:02.381"/>
    </inkml:context>
    <inkml:brush xml:id="br0">
      <inkml:brushProperty name="width" value="0.025" units="cm"/>
      <inkml:brushProperty name="height" value="0.025" units="cm"/>
      <inkml:brushProperty name="ignorePressure" value="1"/>
    </inkml:brush>
  </inkml:definitions>
  <inkml:trace contextRef="#ctx0" brushRef="#br0">0 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4-17T16:44:06.367"/>
    </inkml:context>
    <inkml:brush xml:id="br0">
      <inkml:brushProperty name="width" value="0.025" units="cm"/>
      <inkml:brushProperty name="height" value="0.025" units="cm"/>
      <inkml:brushProperty name="ignorePressure" value="1"/>
    </inkml:brush>
  </inkml:definitions>
  <inkml:trace contextRef="#ctx0" brushRef="#br0">0 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4-17T16:44:16.450"/>
    </inkml:context>
    <inkml:brush xml:id="br0">
      <inkml:brushProperty name="width" value="0.025" units="cm"/>
      <inkml:brushProperty name="height" value="0.025" units="cm"/>
      <inkml:brushProperty name="ignorePressure" value="1"/>
    </inkml:brush>
  </inkml:definitions>
  <inkml:trace contextRef="#ctx0" brushRef="#br0">0 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4-17T16:44:21.020"/>
    </inkml:context>
    <inkml:brush xml:id="br0">
      <inkml:brushProperty name="width" value="0.025" units="cm"/>
      <inkml:brushProperty name="height" value="0.025" units="cm"/>
      <inkml:brushProperty name="ignorePressure" value="1"/>
    </inkml:brush>
  </inkml:definitions>
  <inkml:trace contextRef="#ctx0" brushRef="#br0">1 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1-08T06:49:43.479"/>
    </inkml:context>
    <inkml:brush xml:id="br0">
      <inkml:brushProperty name="width" value="0.05" units="cm"/>
      <inkml:brushProperty name="height" value="0.05" units="cm"/>
    </inkml:brush>
  </inkml:definitions>
  <inkml:trace contextRef="#ctx0" brushRef="#br0">75 1308 184,'0'0'4605,"-12"-4"3802,12-90-7937,-8-42 92,6 122-463,1 0 1,-1 0-1,-1 1 0,-1-1 0,-7-19 0,5 16 79,1 0 1,-3-22-1,-1-48 190,6-126-1,3 137-305,11-29 50,-9 80-99,0 1 0,7-29 0,-2 15-4,-3 2 338,-1-62 0,-3 93-342,-9-41 187,6 1-853,-2 18-6323,-3 7-2209</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1-08T06:49:51.093"/>
    </inkml:context>
    <inkml:brush xml:id="br0">
      <inkml:brushProperty name="width" value="0.05" units="cm"/>
      <inkml:brushProperty name="height" value="0.05" units="cm"/>
    </inkml:brush>
  </inkml:definitions>
  <inkml:trace contextRef="#ctx0" brushRef="#br0">440 97 336,'0'0'2933,"0"0"-2872,43 1 6893,-3 0-4079,-2 1-2895,-1-1-1,39-6 0,27-3 359,105 4-1,-156 4-298,217-4 152,-254 4-175,269 8 102,-142-2-116,10 2-2,-80-2 19,-35-2-44,180 1 50,-138-6-19,-64 0 13,-1-1 0,0-1-1,0 0 1,24-9 0,1 1 11,61-22 115,-22 6-5,-54 22-125,1 0-1,0 2 1,0 1-1,49 2 1,-35 1-5,-33 1-24,-1 0 1,0 1-1,1 0 1,-1 0-1,0 1 0,-1-1 1,1 1-1,5 6 0,-9-10 72,-1 0-1,1 0 1,-1 1-1,1-1 1,-1 0-1,1 1 1,-1-1-1,1 0 0,-1 1 1,0-1-1,1 1 1,-1-1-1,1 0 1,-1 1-1,0-1 1,0 1-1,1-1 0,-1 1 1,0 0-1,0-1 1,1 1-1,-1-1 1,0 1-1,0-1 1,0 1-1,0-1 0,0 1 1,0 0-1,0-1 1,0 1-1,0-1 1,0 1-1,0-1 1,-1 1-1,1 0 1,0 0-1,-22 8 2597,14-6-3186,-16 3 761,0 0 1,1-2-1,-2 0 1,1-2-1,-37 0 0,-79-8-319,116 7 106,0 1 0,-27 7 1,-1-1 8,-156 2 153,-95-8-66,187 0-98,-121-4 196,-22-28-173,169 24 31,-97 6 0,74 2 7,80-2-64,5-1 33,1 1 0,-39 7 0,-54 11 36,27-8 273,-30 14-380,20-6 85,70-12 99,-34 1 0,-31 6-79,87-11-42,-3 2 71,1-2 0,-1 0 0,-14 0 0,28-2-271,21-6-328,65-37 542,-23 10-33,1 3 1,102-32-1,-133 53-26,1 2 0,59-4-1,69 8 28,-142 3 402,-20 15-7696</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1-08T06:50:02.529"/>
    </inkml:context>
    <inkml:brush xml:id="br0">
      <inkml:brushProperty name="width" value="0.05" units="cm"/>
      <inkml:brushProperty name="height" value="0.05" units="cm"/>
    </inkml:brush>
  </inkml:definitions>
  <inkml:trace contextRef="#ctx0" brushRef="#br0">45 0 392,'0'0'1096,"-6"4"-1464,3-2 360,1 0 8,-9 6 0,2 0-48,-4 1-8</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1-01-08T06:50:06.648"/>
    </inkml:context>
    <inkml:brush xml:id="br0">
      <inkml:brushProperty name="width" value="0.05" units="cm"/>
      <inkml:brushProperty name="height" value="0.05" units="cm"/>
    </inkml:brush>
  </inkml:definitions>
  <inkml:trace contextRef="#ctx0" brushRef="#br0">1121 911 800,'0'0'1496,"-78"-22"-1199,49 22-297,2 16-329,3 0-727</inkml:trace>
  <inkml:trace contextRef="#ctx0" brushRef="#br0" timeOffset="1848.97">0 787 4425,'0'0'5959,"14"0"-6142,8-2 265,-1-2 1,0 0 0,0-1-1,0-1 1,26-11 0,-16 6 17,33-14-16,-2-4-1,-1-2 1,95-64 0,-120 69-52,-1-2 1,35-37-1,1 0 71,-64 59-78,11-9-29,0-1 1,26-33-1,-39 44 117,-1-1-1,0 0 1,0-1-1,-1 1 1,0-1 0,0 0-1,0 1 1,-1-1 0,0 0-1,0-1 1,-1 1 0,0 0-1,0-10 1,-1 10-66,0 1 0,0 0 0,-1 0 1,0 0-1,0 0 0,0 0 0,-1 0 1,1 0-1,-2 1 0,1-1 0,-1 0 0,1 1 1,-2 0-1,1-1 0,0 1 0,-1 1 1,0-1-1,0 0 0,-1 1 0,1 0 0,-11-7 1,2 3-69,0 1 0,-1 1 0,1 0 0,-1 0 0,-1 2 0,1-1 0,-25-2-1,0 2-131,-67 1 0,101 4 96,-1 1 1,1 0-1,0 1 0,0-1 1,0 1-1,0 0 0,1 0 1,-1 0-1,0 1 0,1 0 1,-7 4-1,-2 3-50,0 1 0,-15 16 1,17-14 143,0-1 1,-15 23 0,22-29-41,1 0 0,0 0 0,0 0 0,1 1 0,-1-1 0,1 1 0,1-1 0,0 1 1,-1 9-1,-2 26-1,0-6-77,2-1 0,2 1 0,4 41 0,-3-69 73,1 1 0,0 0 0,0 0 0,1-1 0,0 1 0,1-1 0,0 0 0,0 0 0,0 0 0,1-1 0,1 1 0,-1-1 0,1-1 0,0 1 0,1-1 0,-1 0 0,1 0 0,1-1 0,-1 0 0,1 0 0,-1 0 0,2-1 0,-1-1 0,0 1 0,1-1 0,12 2 0,-6-1 347,0-1 1,19 2-1,-29-5-272,1 0-1,-1 0 0,1-1 1,-1 0-1,7-1 1,12-9-3197,0-6-807</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7-29T11:59:22.835"/>
    </inkml:context>
    <inkml:brush xml:id="br0">
      <inkml:brushProperty name="width" value="0.025" units="cm"/>
      <inkml:brushProperty name="height" value="0.025" units="cm"/>
      <inkml:brushProperty name="ignorePressure" value="1"/>
    </inkml:brush>
  </inkml:definitions>
  <inkml:trace contextRef="#ctx0" brushRef="#br0">0 1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7-29T11:59:27.156"/>
    </inkml:context>
    <inkml:brush xml:id="br0">
      <inkml:brushProperty name="width" value="0.025" units="cm"/>
      <inkml:brushProperty name="height" value="0.025" units="cm"/>
      <inkml:brushProperty name="ignorePressure" value="1"/>
    </inkml:brush>
  </inkml:definitions>
  <inkml:trace contextRef="#ctx0" brushRef="#br0">0 3,'106'-2,"109"4,-96 14,205-15,3-1,-199 9,54 0,1317-9,-1242 8,266 43,-424-36,2 0,113 2,235-28,-272 1,80-7,-138 2,183 2,221-4,-64-14,-373 29,87 10,85 21,-121-11,239-6,-109-9,711 9,-636-13,370 1,-695-1,0-1,-1-1,28-7,15-2,32 3,164 7,-133 4,97-12,165 2,-243 10,-115-1,38 7,-47-5,1 0,0-2,0 0,-1-1,27-2,65-19,-78 16</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7-29T11:59:32.904"/>
    </inkml:context>
    <inkml:brush xml:id="br0">
      <inkml:brushProperty name="width" value="0.025" units="cm"/>
      <inkml:brushProperty name="height" value="0.025" units="cm"/>
      <inkml:brushProperty name="ignorePressure" value="1"/>
    </inkml:brush>
  </inkml:definitions>
  <inkml:trace contextRef="#ctx0" brushRef="#br0">0 63,'2'20,"0"1,1 0,9 31,-5-26,4 41,7 201,-16-212,3 1,16 73,14 46,-25-113,-4-30,3 58,-10 491,-8-379,0 78,8-280,1 1,0 0,0-1,1 1,-1 0,0 0,0-1,1 1,-1 0,1-1,0 1,-1-1,1 1,0-1,0 1,1 1,0-2,0 0,0 1,-1-1,1 0,0 0,0 0,0-1,1 1,-1-1,0 1,0-1,0 1,3-1,69 5,103-7,-67-1,832 3,-913-2,0-1,34-8,-48 8,-12 2,1 0,-1 1,0-2,0 1,0 0,0-1,0 1,0-1,0 0,-1 0,1 0,-1 0,1 0,-1-1,3-3,-2 2,0-2,0 1,0 0,-1-1,1 1,-2-1,4-11,-2-3,-1 0,-1-1,-2-39,-15-101,7 93,4 0,5-123,17 34,9-109,-5-503,-22 424,1 355</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7-29T11:59:41.578"/>
    </inkml:context>
    <inkml:brush xml:id="br0">
      <inkml:brushProperty name="width" value="0.025" units="cm"/>
      <inkml:brushProperty name="height" value="0.025" units="cm"/>
      <inkml:brushProperty name="ignorePressure" value="1"/>
    </inkml:brush>
  </inkml:definitions>
  <inkml:trace contextRef="#ctx0" brushRef="#br0">139 2,'-28'425,"6"-170,-19 75,9-98,23-152,3 0,6 86,34 193,-16-273,2 19,-9 31,-8 142,-3-214,0-54,0-1,1 1,1 0,2 10,-3-17,0 0,0 0,0 0,0 0,0 0,1 0,-1 0,1-1,0 1,-1-1,1 1,0-1,1 0,-1 0,0 0,1 0,3 2,15 3,0 0,1-2,0-1,0 0,1-2,23 0,3 1,47 6,301 16,-363-23,0 1,37 9,-37-5,1-2,38 1,25-5,114-14,-143 7,89 4,-94 3,-48-1,-12 1,-1-1,1 0,-1 0,0 0,1 0,6-2,-9 2,1-1,-1 1,0-1,0 0,0 0,0 1,0-1,0 0,0 0,0 0,0 0,-1 0,1 0,0 0,0 0,-1 0,1 0,-1-1,1 1,-1 0,0 0,1-1,-1-1,2-5,-2 0,1 0,-1-1,0 1,0 0,-3-13,-15-53,6 25,1-27,-4-150,12 131,-7-858,11 593,-1 283,1-92,2 140,1 0,2 0,17-50,-15 54,0-1,-2 1,-1-1,-1 0,1-33,-5 52,0 1,0 0,0 0,-1 0,-2-10,2 14,0 0,0 0,0 0,0 0,0 0,0 0,0 1,-1-1,1 0,-1 1,1-1,-1 1,0-1,0 1,0 0,-3-2,-4-1,-1-1,-1 2,1-1,0 1,-1 1,-18-2,-71 0,14 2,-69-19,-76-4,208 23,1-1,-1-1,1-1,-38-14,32 9,-58-11,54 18,-34 1,44 2,0 0,0-2,0-1,-30-7,22 3,0 2,0 0,0 2,-1 1,0 2,1 1,-1 1,-30 6,9-2,29-5</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7-30T11:54:51.598"/>
    </inkml:context>
    <inkml:brush xml:id="br0">
      <inkml:brushProperty name="width" value="0.025" units="cm"/>
      <inkml:brushProperty name="height" value="0.025" units="cm"/>
      <inkml:brushProperty name="ignorePressure" value="1"/>
    </inkml:brush>
  </inkml:definitions>
  <inkml:trace contextRef="#ctx0" brushRef="#br0">0 3,'106'-2,"109"4,-96 14,205-15,3-1,-199 9,54 0,1317-9,-1242 8,266 43,-424-36,2 0,113 2,235-28,-272 1,80-7,-138 2,183 2,221-4,-64-14,-373 29,87 10,85 21,-121-11,239-6,-109-9,711 9,-636-13,370 1,-695-1,0-1,-1-1,28-7,15-2,32 3,164 7,-133 4,97-12,165 2,-243 10,-115-1,38 7,-47-5,1 0,0-2,0 0,-1-1,27-2,65-19,-78 16</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7-30T11:54:51.599"/>
    </inkml:context>
    <inkml:brush xml:id="br0">
      <inkml:brushProperty name="width" value="0.025" units="cm"/>
      <inkml:brushProperty name="height" value="0.025" units="cm"/>
      <inkml:brushProperty name="ignorePressure" value="1"/>
    </inkml:brush>
  </inkml:definitions>
  <inkml:trace contextRef="#ctx0" brushRef="#br0">0 63,'2'20,"0"1,1 0,9 31,-5-26,4 41,7 201,-16-212,3 1,16 73,14 46,-25-113,-4-30,3 58,-10 491,-8-379,0 78,8-280,1 1,0 0,0-1,1 1,-1 0,0 0,0-1,1 1,-1 0,1-1,0 1,-1-1,1 1,0-1,0 1,1 1,0-2,0 0,0 1,-1-1,1 0,0 0,0 0,0-1,1 1,-1-1,0 1,0-1,0 1,3-1,69 5,103-7,-67-1,832 3,-913-2,0-1,34-8,-48 8,-12 2,1 0,-1 1,0-2,0 1,0 0,0-1,0 1,0-1,0 0,-1 0,1 0,-1 0,1 0,-1-1,3-3,-2 2,0-2,0 1,0 0,-1-1,1 1,-2-1,4-11,-2-3,-1 0,-1-1,-2-39,-15-101,7 93,4 0,5-123,17 34,9-109,-5-503,-22 424,1 355</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0-07-30T11:54:51.600"/>
    </inkml:context>
    <inkml:brush xml:id="br0">
      <inkml:brushProperty name="width" value="0.025" units="cm"/>
      <inkml:brushProperty name="height" value="0.025" units="cm"/>
      <inkml:brushProperty name="ignorePressure" value="1"/>
    </inkml:brush>
  </inkml:definitions>
  <inkml:trace contextRef="#ctx0" brushRef="#br0">139 2,'-28'425,"6"-170,-19 75,9-98,23-152,3 0,6 86,34 193,-16-273,2 19,-9 31,-8 142,-3-214,0-54,0-1,1 1,1 0,2 10,-3-17,0 0,0 0,0 0,0 0,0 0,1 0,-1 0,1-1,0 1,-1-1,1 1,0-1,1 0,-1 0,0 0,1 0,3 2,15 3,0 0,1-2,0-1,0 0,1-2,23 0,3 1,47 6,301 16,-363-23,0 1,37 9,-37-5,1-2,38 1,25-5,114-14,-143 7,89 4,-94 3,-48-1,-12 1,-1-1,1 0,-1 0,0 0,1 0,6-2,-9 2,1-1,-1 1,0-1,0 0,0 0,0 1,0-1,0 0,0 0,0 0,0 0,-1 0,1 0,0 0,0 0,-1 0,1 0,-1-1,1 1,-1 0,0 0,1-1,-1-1,2-5,-2 0,1 0,-1-1,0 1,0 0,-3-13,-15-53,6 25,1-27,-4-150,12 131,-7-858,11 593,-1 283,1-92,2 140,1 0,2 0,17-50,-15 54,0-1,-2 1,-1-1,-1 0,1-33,-5 52,0 1,0 0,0 0,-1 0,-2-10,2 14,0 0,0 0,0 0,0 0,0 0,0 0,0 1,-1-1,1 0,-1 1,1-1,-1 1,0-1,0 1,0 0,-3-2,-4-1,-1-1,-1 2,1-1,0 1,-1 1,-18-2,-71 0,14 2,-69-19,-76-4,208 23,1-1,-1-1,1-1,-38-14,32 9,-58-11,54 18,-34 1,44 2,0 0,0-2,0-1,-30-7,22 3,0 2,0 0,0 2,-1 1,0 2,1 1,-1 1,-30 6,9-2,29-5</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U72"/>
  <sheetViews>
    <sheetView topLeftCell="A16" workbookViewId="0">
      <selection activeCell="C19" sqref="C19:D29"/>
    </sheetView>
  </sheetViews>
  <sheetFormatPr defaultRowHeight="14.5"/>
  <cols>
    <col min="1" max="1" width="17.26953125" bestFit="1" customWidth="1"/>
    <col min="3" max="3" width="7.08984375" customWidth="1"/>
    <col min="4" max="4" width="9.54296875" customWidth="1"/>
    <col min="5" max="5" width="10.7265625" style="38" hidden="1" customWidth="1"/>
    <col min="6" max="6" width="15.26953125" bestFit="1" customWidth="1"/>
    <col min="7" max="7" width="15.26953125" style="38" bestFit="1" customWidth="1"/>
    <col min="8" max="9" width="15.26953125" style="38" hidden="1" customWidth="1"/>
    <col min="10" max="10" width="10.08984375" customWidth="1"/>
    <col min="13" max="13" width="9.6328125" customWidth="1"/>
    <col min="14" max="14" width="10.6328125" customWidth="1"/>
    <col min="16" max="16" width="0" hidden="1" customWidth="1"/>
    <col min="17" max="17" width="12.36328125" customWidth="1"/>
    <col min="18" max="18" width="14.36328125" customWidth="1"/>
    <col min="19" max="19" width="8.7265625" customWidth="1"/>
    <col min="20" max="20" width="18.81640625" customWidth="1"/>
    <col min="21" max="21" width="20.36328125" customWidth="1"/>
  </cols>
  <sheetData>
    <row r="1" spans="3:14" ht="15" thickBot="1"/>
    <row r="2" spans="3:14">
      <c r="C2" s="55" t="s">
        <v>0</v>
      </c>
      <c r="D2" s="56" t="s">
        <v>1</v>
      </c>
      <c r="E2" s="57"/>
      <c r="F2" s="56" t="s">
        <v>47</v>
      </c>
      <c r="G2" s="58" t="s">
        <v>48</v>
      </c>
      <c r="H2" s="63"/>
      <c r="I2" s="63"/>
      <c r="M2" s="55" t="s">
        <v>0</v>
      </c>
      <c r="N2" s="59" t="s">
        <v>1</v>
      </c>
    </row>
    <row r="3" spans="3:14">
      <c r="C3" s="51" t="s">
        <v>33</v>
      </c>
      <c r="D3" s="39" t="s">
        <v>32</v>
      </c>
      <c r="E3" s="47" t="s">
        <v>34</v>
      </c>
      <c r="F3" s="39" t="s">
        <v>34</v>
      </c>
      <c r="G3" s="52" t="s">
        <v>39</v>
      </c>
      <c r="H3" s="64"/>
      <c r="I3" s="64"/>
      <c r="M3" s="51" t="s">
        <v>33</v>
      </c>
      <c r="N3" s="60" t="s">
        <v>32</v>
      </c>
    </row>
    <row r="4" spans="3:14">
      <c r="C4" s="30">
        <v>2</v>
      </c>
      <c r="D4" s="29">
        <v>15</v>
      </c>
      <c r="E4" s="47">
        <f>D4-D$13</f>
        <v>-30.444000000000003</v>
      </c>
      <c r="F4" s="29" t="s">
        <v>36</v>
      </c>
      <c r="G4" s="48">
        <f>E4^2</f>
        <v>926.83713600000021</v>
      </c>
      <c r="H4" s="65"/>
      <c r="I4" s="65"/>
      <c r="M4" s="30">
        <v>2</v>
      </c>
      <c r="N4" s="31">
        <v>15</v>
      </c>
    </row>
    <row r="5" spans="3:14">
      <c r="C5" s="30">
        <v>3</v>
      </c>
      <c r="D5" s="29">
        <v>28</v>
      </c>
      <c r="E5" s="47">
        <f t="shared" ref="E5:E12" si="0">D5-D$13</f>
        <v>-17.444000000000003</v>
      </c>
      <c r="F5" s="29" t="s">
        <v>37</v>
      </c>
      <c r="G5" s="48">
        <f t="shared" ref="G5:G12" si="1">E5^2</f>
        <v>304.29313600000012</v>
      </c>
      <c r="H5" s="65"/>
      <c r="I5" s="65"/>
      <c r="M5" s="30">
        <v>3</v>
      </c>
      <c r="N5" s="31">
        <v>28</v>
      </c>
    </row>
    <row r="6" spans="3:14">
      <c r="C6" s="30">
        <v>5</v>
      </c>
      <c r="D6" s="29">
        <v>42</v>
      </c>
      <c r="E6" s="47">
        <f t="shared" si="0"/>
        <v>-3.4440000000000026</v>
      </c>
      <c r="F6" s="29" t="s">
        <v>40</v>
      </c>
      <c r="G6" s="48">
        <f t="shared" si="1"/>
        <v>11.861136000000018</v>
      </c>
      <c r="H6" s="65"/>
      <c r="I6" s="65"/>
      <c r="M6" s="30">
        <v>5</v>
      </c>
      <c r="N6" s="31">
        <v>42</v>
      </c>
    </row>
    <row r="7" spans="3:14">
      <c r="C7" s="30">
        <v>13</v>
      </c>
      <c r="D7" s="29">
        <v>64</v>
      </c>
      <c r="E7" s="47">
        <f t="shared" si="0"/>
        <v>18.555999999999997</v>
      </c>
      <c r="F7" s="29" t="s">
        <v>41</v>
      </c>
      <c r="G7" s="48">
        <f t="shared" si="1"/>
        <v>344.32513599999993</v>
      </c>
      <c r="H7" s="65"/>
      <c r="I7" s="65"/>
      <c r="M7" s="30">
        <v>13</v>
      </c>
      <c r="N7" s="31">
        <v>64</v>
      </c>
    </row>
    <row r="8" spans="3:14">
      <c r="C8" s="30">
        <v>8</v>
      </c>
      <c r="D8" s="29">
        <v>50</v>
      </c>
      <c r="E8" s="47">
        <f t="shared" si="0"/>
        <v>4.5559999999999974</v>
      </c>
      <c r="F8" s="29" t="s">
        <v>42</v>
      </c>
      <c r="G8" s="48">
        <f t="shared" si="1"/>
        <v>20.757135999999978</v>
      </c>
      <c r="H8" s="65"/>
      <c r="I8" s="65"/>
      <c r="M8" s="30">
        <v>8</v>
      </c>
      <c r="N8" s="31">
        <v>50</v>
      </c>
    </row>
    <row r="9" spans="3:14">
      <c r="C9" s="30">
        <v>16</v>
      </c>
      <c r="D9" s="29">
        <v>90</v>
      </c>
      <c r="E9" s="47">
        <f t="shared" si="0"/>
        <v>44.555999999999997</v>
      </c>
      <c r="F9" s="29" t="s">
        <v>43</v>
      </c>
      <c r="G9" s="48">
        <f t="shared" si="1"/>
        <v>1985.2371359999997</v>
      </c>
      <c r="H9" s="65"/>
      <c r="I9" s="65"/>
      <c r="M9" s="30">
        <v>16</v>
      </c>
      <c r="N9" s="31">
        <v>90</v>
      </c>
    </row>
    <row r="10" spans="3:14">
      <c r="C10" s="30">
        <v>11</v>
      </c>
      <c r="D10" s="29">
        <v>58</v>
      </c>
      <c r="E10" s="47">
        <f t="shared" si="0"/>
        <v>12.555999999999997</v>
      </c>
      <c r="F10" s="29" t="s">
        <v>44</v>
      </c>
      <c r="G10" s="48">
        <f t="shared" si="1"/>
        <v>157.65313599999993</v>
      </c>
      <c r="H10" s="65"/>
      <c r="I10" s="65"/>
      <c r="M10" s="30">
        <v>11</v>
      </c>
      <c r="N10" s="31">
        <v>58</v>
      </c>
    </row>
    <row r="11" spans="3:14">
      <c r="C11" s="30">
        <v>1</v>
      </c>
      <c r="D11" s="29">
        <v>8</v>
      </c>
      <c r="E11" s="47">
        <f t="shared" si="0"/>
        <v>-37.444000000000003</v>
      </c>
      <c r="F11" s="29" t="s">
        <v>38</v>
      </c>
      <c r="G11" s="48">
        <f t="shared" si="1"/>
        <v>1402.0531360000002</v>
      </c>
      <c r="H11" s="65"/>
      <c r="I11" s="65"/>
      <c r="M11" s="30">
        <v>1</v>
      </c>
      <c r="N11" s="31">
        <v>8</v>
      </c>
    </row>
    <row r="12" spans="3:14">
      <c r="C12" s="30">
        <v>9</v>
      </c>
      <c r="D12" s="29">
        <v>54</v>
      </c>
      <c r="E12" s="47">
        <f t="shared" si="0"/>
        <v>8.5559999999999974</v>
      </c>
      <c r="F12" s="29" t="s">
        <v>45</v>
      </c>
      <c r="G12" s="48">
        <f t="shared" si="1"/>
        <v>73.205135999999953</v>
      </c>
      <c r="H12" s="65"/>
      <c r="I12" s="65"/>
      <c r="M12" s="30">
        <v>9</v>
      </c>
      <c r="N12" s="31">
        <v>54</v>
      </c>
    </row>
    <row r="13" spans="3:14" hidden="1">
      <c r="C13" s="30"/>
      <c r="D13" s="29">
        <v>45.444000000000003</v>
      </c>
      <c r="E13" s="47"/>
      <c r="F13" s="29"/>
      <c r="G13" s="48">
        <f>SUM(G4:G12)</f>
        <v>5226.2222240000001</v>
      </c>
      <c r="H13" s="65"/>
      <c r="I13" s="65"/>
      <c r="M13" s="30"/>
      <c r="N13" s="31">
        <v>45.444000000000003</v>
      </c>
    </row>
    <row r="14" spans="3:14" ht="15" thickBot="1">
      <c r="C14" s="61" t="s">
        <v>49</v>
      </c>
      <c r="D14" s="53" t="s">
        <v>35</v>
      </c>
      <c r="E14" s="49"/>
      <c r="F14" s="44"/>
      <c r="G14" s="54" t="s">
        <v>46</v>
      </c>
      <c r="H14" s="37"/>
      <c r="I14" s="37"/>
      <c r="M14" s="62" t="s">
        <v>51</v>
      </c>
      <c r="N14" s="54" t="s">
        <v>35</v>
      </c>
    </row>
    <row r="15" spans="3:14">
      <c r="C15" s="36">
        <f>SUM(C4:C14)</f>
        <v>68</v>
      </c>
      <c r="D15" s="36"/>
    </row>
    <row r="16" spans="3:14">
      <c r="C16" s="36"/>
      <c r="D16" s="36"/>
    </row>
    <row r="17" spans="3:11">
      <c r="C17" s="36"/>
      <c r="D17" s="36"/>
      <c r="F17" t="s">
        <v>64</v>
      </c>
    </row>
    <row r="18" spans="3:11" ht="15" thickBot="1">
      <c r="C18" s="36"/>
      <c r="D18" s="36"/>
    </row>
    <row r="19" spans="3:11">
      <c r="C19" s="55" t="s">
        <v>0</v>
      </c>
      <c r="D19" s="56" t="s">
        <v>1</v>
      </c>
      <c r="E19" s="42"/>
      <c r="F19" s="56" t="s">
        <v>50</v>
      </c>
      <c r="G19" s="56" t="s">
        <v>61</v>
      </c>
      <c r="H19" s="56"/>
      <c r="I19" s="56"/>
      <c r="J19" s="56" t="s">
        <v>62</v>
      </c>
      <c r="K19" s="59" t="s">
        <v>63</v>
      </c>
    </row>
    <row r="20" spans="3:11">
      <c r="C20" s="51" t="s">
        <v>33</v>
      </c>
      <c r="D20" s="39" t="s">
        <v>32</v>
      </c>
      <c r="E20" s="40"/>
      <c r="F20" s="39"/>
      <c r="G20" s="39"/>
      <c r="H20" s="39"/>
      <c r="I20" s="39"/>
      <c r="J20" s="39"/>
      <c r="K20" s="60"/>
    </row>
    <row r="21" spans="3:11">
      <c r="C21" s="30">
        <v>2</v>
      </c>
      <c r="D21" s="29">
        <v>15</v>
      </c>
      <c r="E21" s="40"/>
      <c r="F21" s="29" t="s">
        <v>52</v>
      </c>
      <c r="G21" s="29" t="s">
        <v>36</v>
      </c>
      <c r="H21" s="29">
        <f>(C21-C$30)</f>
        <v>-5.56</v>
      </c>
      <c r="I21" s="47">
        <f>(D21-D$30)</f>
        <v>-30.444000000000003</v>
      </c>
      <c r="J21" s="47">
        <f>H21*I21</f>
        <v>169.26864</v>
      </c>
      <c r="K21" s="43">
        <f>(H21^2)</f>
        <v>30.913599999999995</v>
      </c>
    </row>
    <row r="22" spans="3:11">
      <c r="C22" s="30">
        <v>3</v>
      </c>
      <c r="D22" s="29">
        <v>28</v>
      </c>
      <c r="E22" s="40"/>
      <c r="F22" s="29" t="s">
        <v>53</v>
      </c>
      <c r="G22" s="29" t="s">
        <v>37</v>
      </c>
      <c r="H22" s="29">
        <f t="shared" ref="H22:H29" si="2">(C22-C$30)</f>
        <v>-4.5599999999999996</v>
      </c>
      <c r="I22" s="47">
        <f t="shared" ref="I22:I29" si="3">(D22-D$30)</f>
        <v>-17.444000000000003</v>
      </c>
      <c r="J22" s="47">
        <f t="shared" ref="J22:J29" si="4">H22*I22</f>
        <v>79.544640000000001</v>
      </c>
      <c r="K22" s="43">
        <f t="shared" ref="K22:K29" si="5">(H22^2)</f>
        <v>20.793599999999998</v>
      </c>
    </row>
    <row r="23" spans="3:11">
      <c r="C23" s="30">
        <v>5</v>
      </c>
      <c r="D23" s="29">
        <v>42</v>
      </c>
      <c r="E23" s="40"/>
      <c r="F23" s="29" t="s">
        <v>54</v>
      </c>
      <c r="G23" s="29" t="s">
        <v>40</v>
      </c>
      <c r="H23" s="29">
        <f t="shared" si="2"/>
        <v>-2.5599999999999996</v>
      </c>
      <c r="I23" s="47">
        <f t="shared" si="3"/>
        <v>-3.4440000000000026</v>
      </c>
      <c r="J23" s="47">
        <f t="shared" si="4"/>
        <v>8.8166400000000049</v>
      </c>
      <c r="K23" s="43">
        <f t="shared" si="5"/>
        <v>6.5535999999999976</v>
      </c>
    </row>
    <row r="24" spans="3:11">
      <c r="C24" s="30">
        <v>13</v>
      </c>
      <c r="D24" s="29">
        <v>64</v>
      </c>
      <c r="E24" s="40"/>
      <c r="F24" s="29" t="s">
        <v>55</v>
      </c>
      <c r="G24" s="29" t="s">
        <v>41</v>
      </c>
      <c r="H24" s="29">
        <f t="shared" si="2"/>
        <v>5.44</v>
      </c>
      <c r="I24" s="47">
        <f t="shared" si="3"/>
        <v>18.555999999999997</v>
      </c>
      <c r="J24" s="47">
        <f t="shared" si="4"/>
        <v>100.94463999999999</v>
      </c>
      <c r="K24" s="43">
        <f t="shared" si="5"/>
        <v>29.593600000000006</v>
      </c>
    </row>
    <row r="25" spans="3:11">
      <c r="C25" s="30">
        <v>8</v>
      </c>
      <c r="D25" s="29">
        <v>50</v>
      </c>
      <c r="E25" s="40"/>
      <c r="F25" s="29" t="s">
        <v>56</v>
      </c>
      <c r="G25" s="29" t="s">
        <v>42</v>
      </c>
      <c r="H25" s="29">
        <f t="shared" si="2"/>
        <v>0.44000000000000039</v>
      </c>
      <c r="I25" s="47">
        <f t="shared" si="3"/>
        <v>4.5559999999999974</v>
      </c>
      <c r="J25" s="47">
        <f t="shared" si="4"/>
        <v>2.0046400000000006</v>
      </c>
      <c r="K25" s="43">
        <f t="shared" si="5"/>
        <v>0.19360000000000036</v>
      </c>
    </row>
    <row r="26" spans="3:11">
      <c r="C26" s="30">
        <v>16</v>
      </c>
      <c r="D26" s="29">
        <v>90</v>
      </c>
      <c r="E26" s="40"/>
      <c r="F26" s="29" t="s">
        <v>57</v>
      </c>
      <c r="G26" s="29" t="s">
        <v>43</v>
      </c>
      <c r="H26" s="29">
        <f t="shared" si="2"/>
        <v>8.4400000000000013</v>
      </c>
      <c r="I26" s="47">
        <f t="shared" si="3"/>
        <v>44.555999999999997</v>
      </c>
      <c r="J26" s="47">
        <f t="shared" si="4"/>
        <v>376.05264000000005</v>
      </c>
      <c r="K26" s="43">
        <f t="shared" si="5"/>
        <v>71.233600000000024</v>
      </c>
    </row>
    <row r="27" spans="3:11">
      <c r="C27" s="30">
        <v>11</v>
      </c>
      <c r="D27" s="29">
        <v>58</v>
      </c>
      <c r="E27" s="40"/>
      <c r="F27" s="29" t="s">
        <v>58</v>
      </c>
      <c r="G27" s="29" t="s">
        <v>44</v>
      </c>
      <c r="H27" s="29">
        <f t="shared" si="2"/>
        <v>3.4400000000000004</v>
      </c>
      <c r="I27" s="47">
        <f t="shared" si="3"/>
        <v>12.555999999999997</v>
      </c>
      <c r="J27" s="47">
        <f t="shared" si="4"/>
        <v>43.192639999999997</v>
      </c>
      <c r="K27" s="43">
        <f t="shared" si="5"/>
        <v>11.833600000000002</v>
      </c>
    </row>
    <row r="28" spans="3:11">
      <c r="C28" s="30">
        <v>1</v>
      </c>
      <c r="D28" s="29">
        <v>8</v>
      </c>
      <c r="E28" s="40"/>
      <c r="F28" s="29" t="s">
        <v>59</v>
      </c>
      <c r="G28" s="29" t="s">
        <v>38</v>
      </c>
      <c r="H28" s="29">
        <f t="shared" si="2"/>
        <v>-6.56</v>
      </c>
      <c r="I28" s="47">
        <f t="shared" si="3"/>
        <v>-37.444000000000003</v>
      </c>
      <c r="J28" s="47">
        <f t="shared" si="4"/>
        <v>245.63264000000001</v>
      </c>
      <c r="K28" s="43">
        <f t="shared" si="5"/>
        <v>43.033599999999993</v>
      </c>
    </row>
    <row r="29" spans="3:11">
      <c r="C29" s="30">
        <v>9</v>
      </c>
      <c r="D29" s="29">
        <v>54</v>
      </c>
      <c r="E29" s="40"/>
      <c r="F29" s="29" t="s">
        <v>60</v>
      </c>
      <c r="G29" s="29" t="s">
        <v>45</v>
      </c>
      <c r="H29" s="29">
        <f t="shared" si="2"/>
        <v>1.4400000000000004</v>
      </c>
      <c r="I29" s="47">
        <f t="shared" si="3"/>
        <v>8.5559999999999974</v>
      </c>
      <c r="J29" s="47">
        <f t="shared" si="4"/>
        <v>12.320639999999999</v>
      </c>
      <c r="K29" s="43">
        <f t="shared" si="5"/>
        <v>2.0736000000000012</v>
      </c>
    </row>
    <row r="30" spans="3:11" hidden="1">
      <c r="C30" s="30">
        <v>7.56</v>
      </c>
      <c r="D30" s="29">
        <v>45.444000000000003</v>
      </c>
      <c r="E30" s="40"/>
      <c r="F30" s="29"/>
      <c r="G30" s="40"/>
      <c r="H30" s="40"/>
      <c r="I30" s="40"/>
      <c r="J30" s="41"/>
      <c r="K30" s="67"/>
    </row>
    <row r="31" spans="3:11" ht="15" thickBot="1">
      <c r="C31" s="68" t="s">
        <v>51</v>
      </c>
      <c r="D31" s="53" t="s">
        <v>35</v>
      </c>
      <c r="E31" s="45"/>
      <c r="F31" s="44"/>
      <c r="G31" s="45"/>
      <c r="H31" s="45"/>
      <c r="I31" s="45"/>
      <c r="J31" s="69">
        <f>SUM(J20:J30)</f>
        <v>1037.7777599999999</v>
      </c>
      <c r="K31" s="46">
        <f>SUM(K21:K30)</f>
        <v>216.22239999999999</v>
      </c>
    </row>
    <row r="32" spans="3:11">
      <c r="C32" s="36"/>
      <c r="D32" s="36"/>
      <c r="F32" s="36"/>
    </row>
    <row r="33" spans="3:21">
      <c r="C33" s="36"/>
      <c r="D33" s="36"/>
      <c r="F33" s="70" t="s">
        <v>65</v>
      </c>
      <c r="N33" t="s">
        <v>72</v>
      </c>
    </row>
    <row r="34" spans="3:21">
      <c r="C34" s="36"/>
      <c r="D34" s="36"/>
      <c r="F34" s="36"/>
    </row>
    <row r="35" spans="3:21" ht="15" thickBot="1"/>
    <row r="36" spans="3:21">
      <c r="C36" s="73"/>
      <c r="D36" s="71"/>
      <c r="E36" s="74"/>
      <c r="F36" s="71" t="s">
        <v>66</v>
      </c>
      <c r="G36" s="75"/>
      <c r="H36" s="74"/>
      <c r="I36" s="74"/>
      <c r="J36" s="76"/>
      <c r="K36" s="78"/>
      <c r="N36" s="73"/>
      <c r="O36" s="71"/>
      <c r="P36" s="74"/>
      <c r="Q36" s="71" t="s">
        <v>66</v>
      </c>
      <c r="R36" s="83"/>
      <c r="S36" s="83"/>
      <c r="T36" s="83"/>
      <c r="U36" s="84"/>
    </row>
    <row r="37" spans="3:21">
      <c r="C37" s="72" t="s">
        <v>0</v>
      </c>
      <c r="D37" s="66" t="s">
        <v>1</v>
      </c>
      <c r="E37" s="66" t="s">
        <v>67</v>
      </c>
      <c r="F37" s="66" t="s">
        <v>67</v>
      </c>
      <c r="G37" s="66" t="s">
        <v>69</v>
      </c>
      <c r="H37" s="66"/>
      <c r="I37" s="66"/>
      <c r="J37" s="66" t="s">
        <v>71</v>
      </c>
      <c r="K37" s="78"/>
      <c r="N37" s="72" t="s">
        <v>0</v>
      </c>
      <c r="O37" s="81" t="s">
        <v>1</v>
      </c>
      <c r="P37" s="66" t="s">
        <v>67</v>
      </c>
      <c r="Q37" s="66" t="s">
        <v>67</v>
      </c>
      <c r="R37" s="66" t="s">
        <v>61</v>
      </c>
      <c r="S37" s="66" t="s">
        <v>75</v>
      </c>
      <c r="T37" s="66" t="s">
        <v>74</v>
      </c>
      <c r="U37" s="82" t="s">
        <v>94</v>
      </c>
    </row>
    <row r="38" spans="3:21">
      <c r="C38" s="51" t="s">
        <v>33</v>
      </c>
      <c r="D38" s="39" t="s">
        <v>32</v>
      </c>
      <c r="E38" s="47"/>
      <c r="F38" s="39" t="s">
        <v>68</v>
      </c>
      <c r="G38" s="39" t="s">
        <v>34</v>
      </c>
      <c r="H38" s="39"/>
      <c r="I38" s="39"/>
      <c r="J38" s="60" t="s">
        <v>39</v>
      </c>
      <c r="K38" s="78"/>
      <c r="N38" s="51" t="s">
        <v>33</v>
      </c>
      <c r="O38" s="80" t="s">
        <v>32</v>
      </c>
      <c r="P38" s="47"/>
      <c r="Q38" s="39" t="s">
        <v>68</v>
      </c>
      <c r="R38" s="39"/>
      <c r="S38" s="39"/>
      <c r="T38" s="39"/>
      <c r="U38" s="52"/>
    </row>
    <row r="39" spans="3:21">
      <c r="C39" s="30">
        <v>2</v>
      </c>
      <c r="D39" s="29">
        <v>15</v>
      </c>
      <c r="E39" s="47">
        <f>((4.79*C39)+9.18)</f>
        <v>18.759999999999998</v>
      </c>
      <c r="F39" s="29">
        <v>18.759999999999998</v>
      </c>
      <c r="G39" s="29">
        <f>D39-F39</f>
        <v>-3.759999999999998</v>
      </c>
      <c r="H39" s="29">
        <f t="shared" ref="H39:H47" si="6">(C39-C$30)</f>
        <v>-5.56</v>
      </c>
      <c r="I39" s="47">
        <f t="shared" ref="I39:I47" si="7">(D39-D$30)</f>
        <v>-30.444000000000003</v>
      </c>
      <c r="J39" s="48">
        <f>(G39^2)</f>
        <v>14.137599999999985</v>
      </c>
      <c r="K39" s="65"/>
      <c r="N39" s="30">
        <v>2</v>
      </c>
      <c r="O39" s="47">
        <v>15</v>
      </c>
      <c r="P39" s="47">
        <f>((4.79*N39)+9.18)</f>
        <v>18.759999999999998</v>
      </c>
      <c r="Q39" s="29">
        <v>18.759999999999998</v>
      </c>
      <c r="R39" s="29" t="s">
        <v>76</v>
      </c>
      <c r="S39" s="47">
        <f>(O39-O$48)^2</f>
        <v>926.83713600000021</v>
      </c>
      <c r="T39" s="29" t="s">
        <v>88</v>
      </c>
      <c r="U39" s="48">
        <f>(Q39-O$48)^2</f>
        <v>712.03585600000019</v>
      </c>
    </row>
    <row r="40" spans="3:21">
      <c r="C40" s="30">
        <v>3</v>
      </c>
      <c r="D40" s="29">
        <v>28</v>
      </c>
      <c r="E40" s="47">
        <f>((4.79*C40)+9.18)</f>
        <v>23.55</v>
      </c>
      <c r="F40" s="29">
        <v>23.55</v>
      </c>
      <c r="G40" s="29">
        <f t="shared" ref="G40:G47" si="8">D40-F40</f>
        <v>4.4499999999999993</v>
      </c>
      <c r="H40" s="29">
        <f t="shared" si="6"/>
        <v>-4.5599999999999996</v>
      </c>
      <c r="I40" s="47">
        <f t="shared" si="7"/>
        <v>-17.444000000000003</v>
      </c>
      <c r="J40" s="48">
        <f t="shared" ref="J40:J47" si="9">(G40^2)</f>
        <v>19.802499999999995</v>
      </c>
      <c r="K40" s="65"/>
      <c r="N40" s="30">
        <v>3</v>
      </c>
      <c r="O40" s="47">
        <v>28</v>
      </c>
      <c r="P40" s="47">
        <f>((4.79*N40)+9.18)</f>
        <v>23.55</v>
      </c>
      <c r="Q40" s="29">
        <v>23.55</v>
      </c>
      <c r="R40" s="29" t="s">
        <v>77</v>
      </c>
      <c r="S40" s="47">
        <f t="shared" ref="S40:S47" si="10">(O40-O$48)^2</f>
        <v>304.29313600000012</v>
      </c>
      <c r="T40" s="29" t="s">
        <v>85</v>
      </c>
      <c r="U40" s="48">
        <f t="shared" ref="U40:U47" si="11">(Q40-O$48)^2</f>
        <v>479.34723600000007</v>
      </c>
    </row>
    <row r="41" spans="3:21">
      <c r="C41" s="30">
        <v>5</v>
      </c>
      <c r="D41" s="29">
        <v>42</v>
      </c>
      <c r="E41" s="47">
        <f t="shared" ref="E41:E47" si="12">((4.79*C41)+9.18)</f>
        <v>33.129999999999995</v>
      </c>
      <c r="F41" s="29">
        <v>33.129999999999995</v>
      </c>
      <c r="G41" s="29">
        <f t="shared" si="8"/>
        <v>8.8700000000000045</v>
      </c>
      <c r="H41" s="29">
        <f t="shared" si="6"/>
        <v>-2.5599999999999996</v>
      </c>
      <c r="I41" s="47">
        <f t="shared" si="7"/>
        <v>-3.4440000000000026</v>
      </c>
      <c r="J41" s="48">
        <f t="shared" si="9"/>
        <v>78.676900000000074</v>
      </c>
      <c r="K41" s="65"/>
      <c r="N41" s="30">
        <v>5</v>
      </c>
      <c r="O41" s="47">
        <v>42</v>
      </c>
      <c r="P41" s="47">
        <f t="shared" ref="P41:P47" si="13">((4.79*N41)+9.18)</f>
        <v>33.129999999999995</v>
      </c>
      <c r="Q41" s="29">
        <v>33.129999999999995</v>
      </c>
      <c r="R41" s="29" t="s">
        <v>78</v>
      </c>
      <c r="S41" s="47">
        <f t="shared" si="10"/>
        <v>11.861136000000018</v>
      </c>
      <c r="T41" s="29" t="s">
        <v>86</v>
      </c>
      <c r="U41" s="48">
        <f t="shared" si="11"/>
        <v>151.63459600000019</v>
      </c>
    </row>
    <row r="42" spans="3:21">
      <c r="C42" s="30">
        <v>13</v>
      </c>
      <c r="D42" s="29">
        <v>64</v>
      </c>
      <c r="E42" s="47">
        <f t="shared" si="12"/>
        <v>71.45</v>
      </c>
      <c r="F42" s="29">
        <v>71.45</v>
      </c>
      <c r="G42" s="29">
        <f t="shared" si="8"/>
        <v>-7.4500000000000028</v>
      </c>
      <c r="H42" s="29">
        <f t="shared" si="6"/>
        <v>5.44</v>
      </c>
      <c r="I42" s="47">
        <f t="shared" si="7"/>
        <v>18.555999999999997</v>
      </c>
      <c r="J42" s="48">
        <f t="shared" si="9"/>
        <v>55.50250000000004</v>
      </c>
      <c r="K42" s="65"/>
      <c r="N42" s="30">
        <v>13</v>
      </c>
      <c r="O42" s="47">
        <v>64</v>
      </c>
      <c r="P42" s="47">
        <f t="shared" si="13"/>
        <v>71.45</v>
      </c>
      <c r="Q42" s="29">
        <v>71.45</v>
      </c>
      <c r="R42" s="29" t="s">
        <v>79</v>
      </c>
      <c r="S42" s="47">
        <f t="shared" si="10"/>
        <v>344.32513599999993</v>
      </c>
      <c r="T42" s="29" t="s">
        <v>87</v>
      </c>
      <c r="U42" s="48">
        <f t="shared" si="11"/>
        <v>676.31203600000003</v>
      </c>
    </row>
    <row r="43" spans="3:21">
      <c r="C43" s="30">
        <v>8</v>
      </c>
      <c r="D43" s="29">
        <v>50</v>
      </c>
      <c r="E43" s="47">
        <f t="shared" si="12"/>
        <v>47.5</v>
      </c>
      <c r="F43" s="29">
        <v>47.5</v>
      </c>
      <c r="G43" s="29">
        <f t="shared" si="8"/>
        <v>2.5</v>
      </c>
      <c r="H43" s="29">
        <f t="shared" si="6"/>
        <v>0.44000000000000039</v>
      </c>
      <c r="I43" s="47">
        <f t="shared" si="7"/>
        <v>4.5559999999999974</v>
      </c>
      <c r="J43" s="48">
        <f t="shared" si="9"/>
        <v>6.25</v>
      </c>
      <c r="K43" s="65"/>
      <c r="N43" s="30">
        <v>8</v>
      </c>
      <c r="O43" s="47">
        <v>50</v>
      </c>
      <c r="P43" s="47">
        <f t="shared" si="13"/>
        <v>47.5</v>
      </c>
      <c r="Q43" s="29">
        <v>47.5</v>
      </c>
      <c r="R43" s="29" t="s">
        <v>80</v>
      </c>
      <c r="S43" s="47">
        <f t="shared" si="10"/>
        <v>20.757135999999978</v>
      </c>
      <c r="T43" s="29" t="s">
        <v>89</v>
      </c>
      <c r="U43" s="48">
        <f t="shared" si="11"/>
        <v>4.2271359999999891</v>
      </c>
    </row>
    <row r="44" spans="3:21">
      <c r="C44" s="30">
        <v>16</v>
      </c>
      <c r="D44" s="29">
        <v>90</v>
      </c>
      <c r="E44" s="47">
        <f t="shared" si="12"/>
        <v>85.82</v>
      </c>
      <c r="F44" s="29">
        <v>85.82</v>
      </c>
      <c r="G44" s="29">
        <f t="shared" si="8"/>
        <v>4.1800000000000068</v>
      </c>
      <c r="H44" s="29">
        <f t="shared" si="6"/>
        <v>8.4400000000000013</v>
      </c>
      <c r="I44" s="47">
        <f t="shared" si="7"/>
        <v>44.555999999999997</v>
      </c>
      <c r="J44" s="48">
        <f t="shared" si="9"/>
        <v>17.472400000000057</v>
      </c>
      <c r="K44" s="65"/>
      <c r="N44" s="30">
        <v>16</v>
      </c>
      <c r="O44" s="47">
        <v>90</v>
      </c>
      <c r="P44" s="47">
        <f t="shared" si="13"/>
        <v>85.82</v>
      </c>
      <c r="Q44" s="29">
        <v>85.82</v>
      </c>
      <c r="R44" s="29" t="s">
        <v>81</v>
      </c>
      <c r="S44" s="47">
        <f t="shared" si="10"/>
        <v>1985.2371359999997</v>
      </c>
      <c r="T44" s="29" t="s">
        <v>90</v>
      </c>
      <c r="U44" s="48">
        <f t="shared" si="11"/>
        <v>1630.2213759999993</v>
      </c>
    </row>
    <row r="45" spans="3:21">
      <c r="C45" s="30">
        <v>11</v>
      </c>
      <c r="D45" s="29">
        <v>58</v>
      </c>
      <c r="E45" s="47">
        <f t="shared" si="12"/>
        <v>61.87</v>
      </c>
      <c r="F45" s="29">
        <v>61.87</v>
      </c>
      <c r="G45" s="29">
        <f t="shared" si="8"/>
        <v>-3.8699999999999974</v>
      </c>
      <c r="H45" s="29">
        <f t="shared" si="6"/>
        <v>3.4400000000000004</v>
      </c>
      <c r="I45" s="47">
        <f t="shared" si="7"/>
        <v>12.555999999999997</v>
      </c>
      <c r="J45" s="48">
        <f t="shared" si="9"/>
        <v>14.976899999999981</v>
      </c>
      <c r="K45" s="65"/>
      <c r="N45" s="30">
        <v>11</v>
      </c>
      <c r="O45" s="47">
        <v>58</v>
      </c>
      <c r="P45" s="47">
        <f t="shared" si="13"/>
        <v>61.87</v>
      </c>
      <c r="Q45" s="29">
        <v>61.87</v>
      </c>
      <c r="R45" s="29" t="s">
        <v>82</v>
      </c>
      <c r="S45" s="47">
        <f t="shared" si="10"/>
        <v>157.65313599999993</v>
      </c>
      <c r="T45" s="29" t="s">
        <v>91</v>
      </c>
      <c r="U45" s="48">
        <f t="shared" si="11"/>
        <v>269.81347599999981</v>
      </c>
    </row>
    <row r="46" spans="3:21">
      <c r="C46" s="30">
        <v>1</v>
      </c>
      <c r="D46" s="29">
        <v>8</v>
      </c>
      <c r="E46" s="47">
        <f t="shared" si="12"/>
        <v>13.969999999999999</v>
      </c>
      <c r="F46" s="29">
        <v>13.969999999999999</v>
      </c>
      <c r="G46" s="29">
        <f t="shared" si="8"/>
        <v>-5.9699999999999989</v>
      </c>
      <c r="H46" s="29">
        <f t="shared" si="6"/>
        <v>-6.56</v>
      </c>
      <c r="I46" s="47">
        <f t="shared" si="7"/>
        <v>-37.444000000000003</v>
      </c>
      <c r="J46" s="48">
        <f t="shared" si="9"/>
        <v>35.640899999999988</v>
      </c>
      <c r="K46" s="65"/>
      <c r="N46" s="30">
        <v>1</v>
      </c>
      <c r="O46" s="47">
        <v>8</v>
      </c>
      <c r="P46" s="47">
        <f t="shared" si="13"/>
        <v>13.969999999999999</v>
      </c>
      <c r="Q46" s="29">
        <v>13.969999999999999</v>
      </c>
      <c r="R46" s="29" t="s">
        <v>83</v>
      </c>
      <c r="S46" s="47">
        <f t="shared" si="10"/>
        <v>1402.0531360000002</v>
      </c>
      <c r="T46" s="29" t="s">
        <v>92</v>
      </c>
      <c r="U46" s="48">
        <f t="shared" si="11"/>
        <v>990.61267600000019</v>
      </c>
    </row>
    <row r="47" spans="3:21">
      <c r="C47" s="30">
        <v>9</v>
      </c>
      <c r="D47" s="29">
        <v>54</v>
      </c>
      <c r="E47" s="47">
        <f t="shared" si="12"/>
        <v>52.29</v>
      </c>
      <c r="F47" s="29">
        <v>52.29</v>
      </c>
      <c r="G47" s="29">
        <f t="shared" si="8"/>
        <v>1.7100000000000009</v>
      </c>
      <c r="H47" s="29">
        <f t="shared" si="6"/>
        <v>1.4400000000000004</v>
      </c>
      <c r="I47" s="47">
        <f t="shared" si="7"/>
        <v>8.5559999999999974</v>
      </c>
      <c r="J47" s="48">
        <f t="shared" si="9"/>
        <v>2.9241000000000028</v>
      </c>
      <c r="K47" s="65"/>
      <c r="N47" s="30">
        <v>9</v>
      </c>
      <c r="O47" s="47">
        <v>54</v>
      </c>
      <c r="P47" s="47">
        <f t="shared" si="13"/>
        <v>52.29</v>
      </c>
      <c r="Q47" s="29">
        <v>52.29</v>
      </c>
      <c r="R47" s="29" t="s">
        <v>84</v>
      </c>
      <c r="S47" s="47">
        <f t="shared" si="10"/>
        <v>73.205135999999953</v>
      </c>
      <c r="T47" s="29" t="s">
        <v>93</v>
      </c>
      <c r="U47" s="48">
        <f t="shared" si="11"/>
        <v>46.867715999999952</v>
      </c>
    </row>
    <row r="48" spans="3:21" hidden="1">
      <c r="C48" s="30">
        <v>7.56</v>
      </c>
      <c r="D48" s="29">
        <v>45.444000000000003</v>
      </c>
      <c r="E48" s="47"/>
      <c r="F48" s="29"/>
      <c r="G48" s="47"/>
      <c r="H48" s="47"/>
      <c r="I48" s="47"/>
      <c r="J48" s="31"/>
      <c r="K48" s="36"/>
      <c r="N48" s="30">
        <v>7.56</v>
      </c>
      <c r="O48" s="47">
        <v>45.444000000000003</v>
      </c>
      <c r="P48" s="47"/>
      <c r="Q48" s="29"/>
      <c r="R48" s="29"/>
      <c r="S48" s="47">
        <f>SUM(S39:S47)</f>
        <v>5226.2222240000001</v>
      </c>
      <c r="T48" s="47"/>
      <c r="U48" s="48">
        <f>SUM(U39:U47)</f>
        <v>4961.0721039999999</v>
      </c>
    </row>
    <row r="49" spans="3:21" ht="15" thickBot="1">
      <c r="C49" s="77" t="s">
        <v>51</v>
      </c>
      <c r="D49" s="50" t="s">
        <v>35</v>
      </c>
      <c r="E49" s="47"/>
      <c r="F49" s="29"/>
      <c r="G49" s="47"/>
      <c r="H49" s="47"/>
      <c r="I49" s="47"/>
      <c r="J49" s="79">
        <f>SUM(J38:J48)</f>
        <v>245.38380000000009</v>
      </c>
      <c r="K49" s="65"/>
      <c r="N49" s="85" t="s">
        <v>51</v>
      </c>
      <c r="O49" s="86" t="s">
        <v>73</v>
      </c>
      <c r="P49" s="87"/>
      <c r="Q49" s="88"/>
      <c r="R49" s="88"/>
      <c r="S49" s="88">
        <v>5226.22</v>
      </c>
      <c r="T49" s="88"/>
      <c r="U49" s="89">
        <v>4961.07</v>
      </c>
    </row>
    <row r="50" spans="3:21" ht="15" thickBot="1">
      <c r="C50" s="32"/>
      <c r="D50" s="44"/>
      <c r="E50" s="49"/>
      <c r="F50" s="44"/>
      <c r="G50" s="49"/>
      <c r="H50" s="49"/>
      <c r="I50" s="49"/>
      <c r="J50" s="33" t="s">
        <v>70</v>
      </c>
      <c r="K50" s="36"/>
      <c r="N50" s="36"/>
      <c r="O50" s="36"/>
      <c r="P50" s="65"/>
      <c r="Q50" s="36"/>
      <c r="R50" s="13"/>
      <c r="S50" s="13"/>
      <c r="T50" s="13"/>
      <c r="U50" s="13"/>
    </row>
    <row r="51" spans="3:21">
      <c r="C51" s="36"/>
      <c r="D51" s="36"/>
      <c r="F51" s="36"/>
    </row>
    <row r="52" spans="3:21">
      <c r="C52" s="36"/>
      <c r="D52" s="36"/>
      <c r="F52" s="36"/>
      <c r="Q52" s="78" t="s">
        <v>96</v>
      </c>
      <c r="R52" s="90" t="s">
        <v>94</v>
      </c>
      <c r="S52" s="91">
        <v>4961.07</v>
      </c>
    </row>
    <row r="53" spans="3:21">
      <c r="C53" s="36"/>
      <c r="D53" s="36"/>
      <c r="F53" s="36"/>
      <c r="Q53" s="78" t="s">
        <v>97</v>
      </c>
      <c r="R53" s="78" t="s">
        <v>75</v>
      </c>
      <c r="S53" s="78">
        <v>5226.22</v>
      </c>
    </row>
    <row r="54" spans="3:21">
      <c r="C54" s="36"/>
      <c r="D54" s="36"/>
      <c r="F54" s="36"/>
      <c r="Q54" s="78"/>
      <c r="R54" s="78" t="s">
        <v>95</v>
      </c>
      <c r="S54" s="78">
        <f>S52/S53</f>
        <v>0.94926543467362634</v>
      </c>
    </row>
    <row r="55" spans="3:21">
      <c r="C55" s="36"/>
      <c r="D55" s="36"/>
      <c r="F55" s="36"/>
    </row>
    <row r="56" spans="3:21">
      <c r="C56" s="36"/>
      <c r="D56" s="36"/>
      <c r="F56" s="36"/>
    </row>
    <row r="57" spans="3:21">
      <c r="C57" s="36"/>
      <c r="D57" s="36"/>
      <c r="F57" s="36"/>
    </row>
    <row r="58" spans="3:21">
      <c r="C58" s="36"/>
      <c r="D58" s="36"/>
      <c r="F58" s="36"/>
    </row>
    <row r="59" spans="3:21">
      <c r="C59" s="36"/>
      <c r="D59" s="36"/>
      <c r="F59" s="36"/>
    </row>
    <row r="60" spans="3:21">
      <c r="C60" s="36"/>
      <c r="D60" s="36"/>
      <c r="F60" s="36"/>
    </row>
    <row r="61" spans="3:21">
      <c r="C61" s="36"/>
      <c r="D61" s="36"/>
      <c r="F61" s="36"/>
    </row>
    <row r="62" spans="3:21" ht="15" thickBot="1">
      <c r="F62" s="36"/>
    </row>
    <row r="63" spans="3:21">
      <c r="C63" s="34" t="s">
        <v>33</v>
      </c>
      <c r="D63" s="35" t="s">
        <v>32</v>
      </c>
    </row>
    <row r="64" spans="3:21">
      <c r="C64" s="30">
        <v>2</v>
      </c>
      <c r="D64" s="31">
        <v>15</v>
      </c>
    </row>
    <row r="65" spans="3:4">
      <c r="C65" s="30">
        <v>3</v>
      </c>
      <c r="D65" s="31">
        <v>28</v>
      </c>
    </row>
    <row r="66" spans="3:4">
      <c r="C66" s="30">
        <v>5</v>
      </c>
      <c r="D66" s="31">
        <v>42</v>
      </c>
    </row>
    <row r="67" spans="3:4">
      <c r="C67" s="30">
        <v>13</v>
      </c>
      <c r="D67" s="31">
        <v>64</v>
      </c>
    </row>
    <row r="68" spans="3:4">
      <c r="C68" s="30">
        <v>8</v>
      </c>
      <c r="D68" s="31">
        <v>50</v>
      </c>
    </row>
    <row r="69" spans="3:4">
      <c r="C69" s="30">
        <v>16</v>
      </c>
      <c r="D69" s="31">
        <v>90</v>
      </c>
    </row>
    <row r="70" spans="3:4">
      <c r="C70" s="30">
        <v>11</v>
      </c>
      <c r="D70" s="31">
        <v>58</v>
      </c>
    </row>
    <row r="71" spans="3:4">
      <c r="C71" s="30">
        <v>1</v>
      </c>
      <c r="D71" s="31">
        <v>8</v>
      </c>
    </row>
    <row r="72" spans="3:4" ht="15" thickBot="1">
      <c r="C72" s="32">
        <v>9</v>
      </c>
      <c r="D72" s="33">
        <v>54</v>
      </c>
    </row>
  </sheetData>
  <phoneticPr fontId="1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3CFD-8923-4B80-8F43-B674A214251F}">
  <dimension ref="B1:C13"/>
  <sheetViews>
    <sheetView workbookViewId="0">
      <selection activeCell="A3" sqref="A3"/>
    </sheetView>
  </sheetViews>
  <sheetFormatPr defaultRowHeight="14.5"/>
  <sheetData>
    <row r="1" spans="2:3" ht="15" thickBot="1"/>
    <row r="2" spans="2:3">
      <c r="B2" s="55" t="s">
        <v>0</v>
      </c>
      <c r="C2" s="56" t="s">
        <v>1</v>
      </c>
    </row>
    <row r="3" spans="2:3">
      <c r="B3" s="51" t="s">
        <v>33</v>
      </c>
      <c r="C3" s="39" t="s">
        <v>32</v>
      </c>
    </row>
    <row r="4" spans="2:3">
      <c r="B4" s="30">
        <v>2</v>
      </c>
      <c r="C4" s="29">
        <v>15</v>
      </c>
    </row>
    <row r="5" spans="2:3">
      <c r="B5" s="30">
        <v>3</v>
      </c>
      <c r="C5" s="29">
        <v>28</v>
      </c>
    </row>
    <row r="6" spans="2:3">
      <c r="B6" s="30">
        <v>5</v>
      </c>
      <c r="C6" s="29">
        <v>42</v>
      </c>
    </row>
    <row r="7" spans="2:3">
      <c r="B7" s="30">
        <v>13</v>
      </c>
      <c r="C7" s="29">
        <v>64</v>
      </c>
    </row>
    <row r="8" spans="2:3">
      <c r="B8" s="30">
        <v>8</v>
      </c>
      <c r="C8" s="29">
        <v>50</v>
      </c>
    </row>
    <row r="9" spans="2:3">
      <c r="B9" s="30">
        <v>16</v>
      </c>
      <c r="C9" s="29">
        <v>90</v>
      </c>
    </row>
    <row r="10" spans="2:3">
      <c r="B10" s="30">
        <v>11</v>
      </c>
      <c r="C10" s="29">
        <v>58</v>
      </c>
    </row>
    <row r="11" spans="2:3">
      <c r="B11" s="30">
        <v>1</v>
      </c>
      <c r="C11" s="29">
        <v>8</v>
      </c>
    </row>
    <row r="12" spans="2:3">
      <c r="B12" s="30">
        <v>9</v>
      </c>
      <c r="C12" s="29">
        <v>54</v>
      </c>
    </row>
    <row r="13" spans="2:3">
      <c r="B13" s="94">
        <v>4</v>
      </c>
      <c r="C13" t="s">
        <v>21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40"/>
  <sheetViews>
    <sheetView topLeftCell="A5" workbookViewId="0">
      <selection activeCell="H5" sqref="H5"/>
    </sheetView>
  </sheetViews>
  <sheetFormatPr defaultRowHeight="14.5"/>
  <cols>
    <col min="5" max="5" width="9.1796875" customWidth="1"/>
    <col min="6" max="7" width="9.453125" bestFit="1" customWidth="1"/>
    <col min="8" max="8" width="13" bestFit="1" customWidth="1"/>
    <col min="9" max="9" width="13" customWidth="1"/>
    <col min="10" max="10" width="19.26953125" bestFit="1" customWidth="1"/>
    <col min="11" max="11" width="15.453125" bestFit="1" customWidth="1"/>
    <col min="13" max="14" width="11.7265625" customWidth="1"/>
  </cols>
  <sheetData>
    <row r="1" spans="2:15" ht="15" thickBot="1"/>
    <row r="2" spans="2:15" ht="23.5">
      <c r="B2" s="7"/>
      <c r="C2" s="8"/>
      <c r="D2" s="9" t="s">
        <v>22</v>
      </c>
      <c r="E2" s="10"/>
      <c r="F2" s="10"/>
      <c r="G2" s="10"/>
      <c r="H2" s="10"/>
      <c r="I2" s="8"/>
      <c r="J2" s="8"/>
      <c r="K2" s="8"/>
      <c r="L2" s="8"/>
      <c r="M2" s="8"/>
      <c r="N2" s="8"/>
      <c r="O2" s="11" t="s">
        <v>6</v>
      </c>
    </row>
    <row r="3" spans="2:15" ht="15" thickBot="1">
      <c r="B3" s="12"/>
      <c r="C3" s="13"/>
      <c r="D3" s="13"/>
      <c r="E3" s="13"/>
      <c r="F3" s="13"/>
      <c r="G3" s="13"/>
      <c r="H3" s="13"/>
      <c r="I3" s="13"/>
      <c r="J3" s="13"/>
      <c r="K3" s="13"/>
      <c r="L3" s="13"/>
      <c r="M3" s="13"/>
      <c r="N3" s="13"/>
      <c r="O3" s="14"/>
    </row>
    <row r="4" spans="2:15" ht="38.25" customHeight="1" thickBot="1">
      <c r="B4" s="12">
        <v>1</v>
      </c>
      <c r="C4" s="13"/>
      <c r="D4" s="1" t="s">
        <v>0</v>
      </c>
      <c r="E4" s="1" t="s">
        <v>1</v>
      </c>
      <c r="F4" s="3" t="s">
        <v>7</v>
      </c>
      <c r="G4" s="3" t="s">
        <v>7</v>
      </c>
      <c r="H4" s="3" t="s">
        <v>8</v>
      </c>
      <c r="I4" s="3" t="s">
        <v>8</v>
      </c>
      <c r="J4" s="19" t="s">
        <v>18</v>
      </c>
      <c r="K4" s="19" t="s">
        <v>19</v>
      </c>
      <c r="L4" s="13"/>
      <c r="M4" s="13"/>
      <c r="N4" s="13"/>
      <c r="O4" s="14"/>
    </row>
    <row r="5" spans="2:15" ht="31.5" thickBot="1">
      <c r="B5" s="12"/>
      <c r="C5" s="13"/>
      <c r="D5" s="2">
        <v>1</v>
      </c>
      <c r="E5" s="2">
        <v>4</v>
      </c>
      <c r="F5" s="4" t="s">
        <v>9</v>
      </c>
      <c r="G5" s="2">
        <v>-2</v>
      </c>
      <c r="H5" s="5" t="s">
        <v>14</v>
      </c>
      <c r="I5" s="2">
        <v>0.4</v>
      </c>
      <c r="J5" s="2">
        <v>-0.8</v>
      </c>
      <c r="K5" s="2">
        <v>4</v>
      </c>
      <c r="L5" s="13"/>
      <c r="M5" s="13"/>
      <c r="N5" s="13"/>
      <c r="O5" s="14"/>
    </row>
    <row r="6" spans="2:15" ht="31.5" thickBot="1">
      <c r="B6" s="12"/>
      <c r="C6" s="13"/>
      <c r="D6" s="2">
        <v>2</v>
      </c>
      <c r="E6" s="2">
        <v>3</v>
      </c>
      <c r="F6" s="4" t="s">
        <v>10</v>
      </c>
      <c r="G6" s="2">
        <v>-1</v>
      </c>
      <c r="H6" s="5" t="s">
        <v>15</v>
      </c>
      <c r="I6" s="6">
        <v>-0.6</v>
      </c>
      <c r="J6" s="6">
        <v>0.6</v>
      </c>
      <c r="K6" s="6">
        <v>1</v>
      </c>
      <c r="L6" s="13"/>
      <c r="M6" s="13"/>
      <c r="N6" s="13"/>
      <c r="O6" s="14"/>
    </row>
    <row r="7" spans="2:15" ht="31.5" thickBot="1">
      <c r="B7" s="12"/>
      <c r="C7" s="13"/>
      <c r="D7" s="2">
        <v>3</v>
      </c>
      <c r="E7" s="2">
        <v>4</v>
      </c>
      <c r="F7" s="4" t="s">
        <v>11</v>
      </c>
      <c r="G7" s="2">
        <v>0</v>
      </c>
      <c r="H7" s="5" t="s">
        <v>14</v>
      </c>
      <c r="I7" s="2">
        <v>0.4</v>
      </c>
      <c r="J7" s="2">
        <v>0</v>
      </c>
      <c r="K7" s="2">
        <v>0</v>
      </c>
      <c r="L7" s="13"/>
      <c r="M7" s="13"/>
      <c r="N7" s="13"/>
      <c r="O7" s="14"/>
    </row>
    <row r="8" spans="2:15" ht="31.5" thickBot="1">
      <c r="B8" s="12"/>
      <c r="C8" s="13"/>
      <c r="D8" s="2">
        <v>4</v>
      </c>
      <c r="E8" s="2">
        <v>2</v>
      </c>
      <c r="F8" s="4" t="s">
        <v>12</v>
      </c>
      <c r="G8" s="2">
        <v>1</v>
      </c>
      <c r="H8" s="5" t="s">
        <v>16</v>
      </c>
      <c r="I8" s="6">
        <v>-1.6</v>
      </c>
      <c r="J8" s="6">
        <v>-1.6</v>
      </c>
      <c r="K8" s="6">
        <v>1</v>
      </c>
      <c r="L8" s="13"/>
      <c r="M8" s="13"/>
      <c r="N8" s="13"/>
      <c r="O8" s="14"/>
    </row>
    <row r="9" spans="2:15" ht="31.5" thickBot="1">
      <c r="B9" s="12"/>
      <c r="C9" s="13"/>
      <c r="D9" s="2">
        <v>5</v>
      </c>
      <c r="E9" s="2">
        <v>5</v>
      </c>
      <c r="F9" s="4" t="s">
        <v>13</v>
      </c>
      <c r="G9" s="2">
        <v>2</v>
      </c>
      <c r="H9" s="5" t="s">
        <v>17</v>
      </c>
      <c r="I9" s="2">
        <v>1.4</v>
      </c>
      <c r="J9" s="2">
        <v>2.8</v>
      </c>
      <c r="K9" s="2">
        <v>4</v>
      </c>
      <c r="L9" s="13"/>
      <c r="M9" s="13"/>
      <c r="N9" s="13"/>
      <c r="O9" s="14"/>
    </row>
    <row r="10" spans="2:15">
      <c r="B10" s="12"/>
      <c r="C10" s="13"/>
      <c r="D10" s="13"/>
      <c r="E10" s="13"/>
      <c r="F10" s="13"/>
      <c r="G10" s="13"/>
      <c r="H10" s="13"/>
      <c r="I10" s="13"/>
      <c r="J10" s="13"/>
      <c r="K10" s="13"/>
      <c r="L10" s="13"/>
      <c r="M10" s="13"/>
      <c r="N10" s="13"/>
      <c r="O10" s="14"/>
    </row>
    <row r="11" spans="2:15" ht="15" thickBot="1">
      <c r="B11" s="12"/>
      <c r="C11" s="13"/>
      <c r="D11" s="13"/>
      <c r="E11" s="13"/>
      <c r="F11" s="13"/>
      <c r="G11" s="13"/>
      <c r="H11" s="13"/>
      <c r="I11" s="13"/>
      <c r="J11" s="13"/>
      <c r="K11" s="13"/>
      <c r="L11" s="13"/>
      <c r="M11" s="13"/>
      <c r="N11" s="13"/>
      <c r="O11" s="14"/>
    </row>
    <row r="12" spans="2:15" ht="31.5" thickBot="1">
      <c r="B12" s="12" t="s">
        <v>4</v>
      </c>
      <c r="C12" s="13"/>
      <c r="D12" s="13">
        <f>SUM(D5:D11)</f>
        <v>15</v>
      </c>
      <c r="E12" s="13">
        <f>SUM(E5:E11)</f>
        <v>18</v>
      </c>
      <c r="F12" s="13"/>
      <c r="G12" s="13"/>
      <c r="H12" s="13"/>
      <c r="I12" s="13" t="s">
        <v>4</v>
      </c>
      <c r="J12" s="6">
        <v>1</v>
      </c>
      <c r="K12" s="6">
        <v>10</v>
      </c>
      <c r="L12" s="13"/>
      <c r="M12" s="13"/>
      <c r="N12" s="13"/>
      <c r="O12" s="14"/>
    </row>
    <row r="13" spans="2:15">
      <c r="B13" s="12"/>
      <c r="C13" s="13"/>
      <c r="D13" s="15" t="s">
        <v>2</v>
      </c>
      <c r="E13" s="15" t="s">
        <v>3</v>
      </c>
      <c r="F13" s="13"/>
      <c r="G13" s="13"/>
      <c r="H13" s="13"/>
      <c r="I13" s="13"/>
      <c r="J13" s="13"/>
      <c r="K13" s="13"/>
      <c r="L13" s="13"/>
      <c r="M13" s="13"/>
      <c r="N13" s="13"/>
      <c r="O13" s="14"/>
    </row>
    <row r="14" spans="2:15">
      <c r="B14" s="12"/>
      <c r="C14" s="13"/>
      <c r="D14" s="13"/>
      <c r="E14" s="13"/>
      <c r="F14" s="13"/>
      <c r="G14" s="13"/>
      <c r="H14" s="13"/>
      <c r="I14" s="13"/>
      <c r="J14" s="13"/>
      <c r="K14" s="13"/>
      <c r="L14" s="13"/>
      <c r="M14" s="13"/>
      <c r="N14" s="13"/>
      <c r="O14" s="14"/>
    </row>
    <row r="15" spans="2:15">
      <c r="B15" s="12" t="s">
        <v>5</v>
      </c>
      <c r="C15" s="13"/>
      <c r="D15" s="15">
        <v>3</v>
      </c>
      <c r="E15" s="15">
        <v>3.6</v>
      </c>
      <c r="F15" s="13"/>
      <c r="G15" s="13"/>
      <c r="H15" s="13"/>
      <c r="I15" s="13"/>
      <c r="J15" s="13"/>
      <c r="K15" s="13"/>
      <c r="L15" s="13"/>
      <c r="M15" s="13"/>
      <c r="N15" s="13"/>
      <c r="O15" s="14"/>
    </row>
    <row r="16" spans="2:15" ht="15" thickBot="1">
      <c r="B16" s="16"/>
      <c r="C16" s="17"/>
      <c r="D16" s="17"/>
      <c r="E16" s="17"/>
      <c r="F16" s="17"/>
      <c r="G16" s="17"/>
      <c r="H16" s="17"/>
      <c r="I16" s="17"/>
      <c r="J16" s="17"/>
      <c r="K16" s="17"/>
      <c r="L16" s="17"/>
      <c r="M16" s="17"/>
      <c r="N16" s="17"/>
      <c r="O16" s="18"/>
    </row>
    <row r="17" spans="2:15" ht="15" thickBot="1"/>
    <row r="18" spans="2:15" ht="23.5">
      <c r="B18" s="7"/>
      <c r="C18" s="8"/>
      <c r="D18" s="9" t="s">
        <v>23</v>
      </c>
      <c r="E18" s="10"/>
      <c r="F18" s="10"/>
      <c r="G18" s="10"/>
      <c r="H18" s="10"/>
      <c r="I18" s="10"/>
      <c r="J18" s="8"/>
      <c r="K18" s="8"/>
      <c r="L18" s="8"/>
      <c r="M18" s="8"/>
      <c r="N18" s="8"/>
      <c r="O18" s="11"/>
    </row>
    <row r="19" spans="2:15" ht="15" thickBot="1">
      <c r="B19" s="12"/>
      <c r="C19" s="13"/>
      <c r="D19" s="13"/>
      <c r="E19" s="13"/>
      <c r="F19" s="13"/>
      <c r="G19" s="13"/>
      <c r="H19" s="13"/>
      <c r="I19" s="13"/>
      <c r="J19" s="13"/>
      <c r="K19" s="13"/>
      <c r="L19" s="13"/>
      <c r="M19" s="13"/>
      <c r="N19" s="13"/>
      <c r="O19" s="14"/>
    </row>
    <row r="20" spans="2:15" ht="31.5" customHeight="1" thickBot="1">
      <c r="B20" s="12"/>
      <c r="C20" s="13"/>
      <c r="D20" s="1" t="s">
        <v>0</v>
      </c>
      <c r="E20" s="1" t="s">
        <v>1</v>
      </c>
      <c r="F20" s="13"/>
      <c r="G20" s="3" t="s">
        <v>0</v>
      </c>
      <c r="H20" s="3" t="s">
        <v>20</v>
      </c>
      <c r="I20" s="13"/>
      <c r="J20" s="3" t="s">
        <v>0</v>
      </c>
      <c r="K20" s="3" t="s">
        <v>20</v>
      </c>
      <c r="L20" s="13"/>
      <c r="M20" s="13"/>
      <c r="N20" s="13"/>
      <c r="O20" s="14"/>
    </row>
    <row r="21" spans="2:15" ht="31.5" thickBot="1">
      <c r="B21" s="12"/>
      <c r="C21" s="13"/>
      <c r="D21" s="2">
        <v>1</v>
      </c>
      <c r="E21" s="2">
        <v>4</v>
      </c>
      <c r="F21" s="13"/>
      <c r="G21" s="2">
        <v>1</v>
      </c>
      <c r="H21" s="5" t="s">
        <v>21</v>
      </c>
      <c r="I21" s="13"/>
      <c r="J21" s="2">
        <v>1</v>
      </c>
      <c r="K21" s="5">
        <v>3.2</v>
      </c>
      <c r="L21" s="13"/>
      <c r="M21" s="13"/>
      <c r="N21" s="13"/>
      <c r="O21" s="14"/>
    </row>
    <row r="22" spans="2:15" ht="31.5" thickBot="1">
      <c r="B22" s="12"/>
      <c r="C22" s="13"/>
      <c r="D22" s="2">
        <v>2</v>
      </c>
      <c r="E22" s="2">
        <v>3</v>
      </c>
      <c r="F22" s="13"/>
      <c r="G22" s="2">
        <v>2</v>
      </c>
      <c r="H22" s="5" t="s">
        <v>21</v>
      </c>
      <c r="I22" s="13"/>
      <c r="J22" s="2">
        <v>2</v>
      </c>
      <c r="K22" s="5">
        <v>3.1</v>
      </c>
      <c r="L22" s="13"/>
      <c r="M22" s="13"/>
      <c r="N22" s="13"/>
      <c r="O22" s="14"/>
    </row>
    <row r="23" spans="2:15" ht="31.5" thickBot="1">
      <c r="B23" s="12"/>
      <c r="C23" s="13"/>
      <c r="D23" s="2">
        <v>3</v>
      </c>
      <c r="E23" s="2">
        <v>4</v>
      </c>
      <c r="F23" s="13"/>
      <c r="G23" s="2">
        <v>3</v>
      </c>
      <c r="H23" s="5" t="s">
        <v>21</v>
      </c>
      <c r="I23" s="13"/>
      <c r="J23" s="2">
        <v>3</v>
      </c>
      <c r="K23" s="5">
        <v>3</v>
      </c>
      <c r="L23" s="13"/>
      <c r="M23" s="13"/>
      <c r="N23" s="13"/>
      <c r="O23" s="14"/>
    </row>
    <row r="24" spans="2:15" ht="31.5" thickBot="1">
      <c r="B24" s="12"/>
      <c r="C24" s="13"/>
      <c r="D24" s="2">
        <v>4</v>
      </c>
      <c r="E24" s="2">
        <v>2</v>
      </c>
      <c r="F24" s="13"/>
      <c r="G24" s="2">
        <v>4</v>
      </c>
      <c r="H24" s="5" t="s">
        <v>21</v>
      </c>
      <c r="I24" s="13"/>
      <c r="J24" s="2">
        <v>4</v>
      </c>
      <c r="K24" s="5">
        <v>2.9</v>
      </c>
      <c r="L24" s="13"/>
      <c r="M24" s="13"/>
      <c r="N24" s="13"/>
      <c r="O24" s="14"/>
    </row>
    <row r="25" spans="2:15" ht="31.5" thickBot="1">
      <c r="B25" s="12"/>
      <c r="C25" s="13"/>
      <c r="D25" s="2">
        <v>5</v>
      </c>
      <c r="E25" s="2">
        <v>5</v>
      </c>
      <c r="F25" s="13"/>
      <c r="G25" s="2">
        <v>5</v>
      </c>
      <c r="H25" s="5" t="s">
        <v>21</v>
      </c>
      <c r="I25" s="13"/>
      <c r="J25" s="2">
        <v>5</v>
      </c>
      <c r="K25" s="5">
        <v>2.8</v>
      </c>
      <c r="L25" s="13"/>
      <c r="M25" s="13"/>
      <c r="N25" s="13"/>
      <c r="O25" s="14"/>
    </row>
    <row r="26" spans="2:15">
      <c r="B26" s="12"/>
      <c r="C26" s="13"/>
      <c r="D26" s="13"/>
      <c r="E26" s="13"/>
      <c r="F26" s="13"/>
      <c r="G26" s="13"/>
      <c r="H26" s="13"/>
      <c r="I26" s="13"/>
      <c r="J26" s="13"/>
      <c r="K26" s="13"/>
      <c r="L26" s="13"/>
      <c r="M26" s="13"/>
      <c r="N26" s="13"/>
      <c r="O26" s="14"/>
    </row>
    <row r="27" spans="2:15" ht="15" thickBot="1">
      <c r="B27" s="16"/>
      <c r="C27" s="17"/>
      <c r="D27" s="17"/>
      <c r="E27" s="17"/>
      <c r="F27" s="17"/>
      <c r="G27" s="17"/>
      <c r="H27" s="17"/>
      <c r="I27" s="17"/>
      <c r="J27" s="17"/>
      <c r="K27" s="17"/>
      <c r="L27" s="17"/>
      <c r="M27" s="17"/>
      <c r="N27" s="17"/>
      <c r="O27" s="18"/>
    </row>
    <row r="31" spans="2:15" ht="15" thickBot="1"/>
    <row r="32" spans="2:15" ht="24" thickBot="1">
      <c r="B32" s="7"/>
      <c r="C32" s="8"/>
      <c r="D32" s="9" t="s">
        <v>24</v>
      </c>
      <c r="E32" s="10"/>
      <c r="F32" s="10"/>
      <c r="G32" s="10"/>
      <c r="H32" s="10"/>
      <c r="I32" s="10"/>
      <c r="J32" s="8"/>
      <c r="K32" s="8"/>
      <c r="L32" s="8"/>
      <c r="M32" s="8"/>
      <c r="N32" s="8"/>
      <c r="O32" s="11"/>
    </row>
    <row r="33" spans="2:15" ht="32.25" customHeight="1" thickTop="1" thickBot="1">
      <c r="B33" s="20" t="s">
        <v>0</v>
      </c>
      <c r="C33" s="1" t="s">
        <v>1</v>
      </c>
      <c r="D33" s="28" t="s">
        <v>20</v>
      </c>
      <c r="E33" s="13"/>
      <c r="F33" s="96" t="s">
        <v>25</v>
      </c>
      <c r="G33" s="96"/>
      <c r="H33" s="25" t="s">
        <v>25</v>
      </c>
      <c r="I33" s="26" t="s">
        <v>30</v>
      </c>
      <c r="J33" s="13"/>
      <c r="K33" s="96" t="s">
        <v>8</v>
      </c>
      <c r="L33" s="96"/>
      <c r="M33" s="22" t="s">
        <v>8</v>
      </c>
      <c r="N33" s="23" t="s">
        <v>31</v>
      </c>
      <c r="O33" s="14"/>
    </row>
    <row r="34" spans="2:15" ht="32.25" customHeight="1" thickTop="1" thickBot="1">
      <c r="B34" s="21">
        <v>1</v>
      </c>
      <c r="C34" s="2">
        <v>4</v>
      </c>
      <c r="D34" s="27">
        <v>3.2</v>
      </c>
      <c r="E34" s="13"/>
      <c r="F34" s="95" t="s">
        <v>26</v>
      </c>
      <c r="G34" s="95"/>
      <c r="H34" s="24">
        <v>-0.4</v>
      </c>
      <c r="I34" s="24">
        <v>0.16</v>
      </c>
      <c r="J34" s="13"/>
      <c r="K34" s="95" t="s">
        <v>14</v>
      </c>
      <c r="L34" s="95"/>
      <c r="M34" s="24">
        <v>0.4</v>
      </c>
      <c r="N34" s="24">
        <v>0.16</v>
      </c>
      <c r="O34" s="14"/>
    </row>
    <row r="35" spans="2:15" ht="32" thickTop="1" thickBot="1">
      <c r="B35" s="21">
        <v>2</v>
      </c>
      <c r="C35" s="2">
        <v>3</v>
      </c>
      <c r="D35" s="27">
        <v>3.1</v>
      </c>
      <c r="E35" s="13"/>
      <c r="F35" s="95" t="s">
        <v>27</v>
      </c>
      <c r="G35" s="95"/>
      <c r="H35" s="24">
        <v>-0.5</v>
      </c>
      <c r="I35" s="24">
        <v>0.25</v>
      </c>
      <c r="J35" s="13"/>
      <c r="K35" s="95" t="s">
        <v>15</v>
      </c>
      <c r="L35" s="95"/>
      <c r="M35" s="24">
        <v>0.6</v>
      </c>
      <c r="N35" s="24">
        <v>0.36</v>
      </c>
      <c r="O35" s="14"/>
    </row>
    <row r="36" spans="2:15" ht="32" thickTop="1" thickBot="1">
      <c r="B36" s="21">
        <v>3</v>
      </c>
      <c r="C36" s="2">
        <v>4</v>
      </c>
      <c r="D36" s="27">
        <v>3</v>
      </c>
      <c r="E36" s="13"/>
      <c r="F36" s="95" t="s">
        <v>15</v>
      </c>
      <c r="G36" s="95"/>
      <c r="H36" s="24">
        <v>-0.6</v>
      </c>
      <c r="I36" s="24">
        <v>0.36</v>
      </c>
      <c r="J36" s="13"/>
      <c r="K36" s="95" t="s">
        <v>14</v>
      </c>
      <c r="L36" s="95"/>
      <c r="M36" s="24">
        <v>0.4</v>
      </c>
      <c r="N36" s="24">
        <v>0.16</v>
      </c>
      <c r="O36" s="14"/>
    </row>
    <row r="37" spans="2:15" ht="32" thickTop="1" thickBot="1">
      <c r="B37" s="21">
        <v>4</v>
      </c>
      <c r="C37" s="2">
        <v>2</v>
      </c>
      <c r="D37" s="27">
        <v>2.9</v>
      </c>
      <c r="E37" s="13"/>
      <c r="F37" s="95" t="s">
        <v>28</v>
      </c>
      <c r="G37" s="95"/>
      <c r="H37" s="24">
        <v>-0.7</v>
      </c>
      <c r="I37" s="24">
        <v>0.47</v>
      </c>
      <c r="J37" s="13"/>
      <c r="K37" s="95" t="s">
        <v>16</v>
      </c>
      <c r="L37" s="95"/>
      <c r="M37" s="24">
        <v>-1.6</v>
      </c>
      <c r="N37" s="24">
        <v>2.56</v>
      </c>
      <c r="O37" s="14"/>
    </row>
    <row r="38" spans="2:15" ht="32" thickTop="1" thickBot="1">
      <c r="B38" s="21">
        <v>5</v>
      </c>
      <c r="C38" s="2">
        <v>5</v>
      </c>
      <c r="D38" s="27">
        <v>2.8</v>
      </c>
      <c r="E38" s="13"/>
      <c r="F38" s="95" t="s">
        <v>29</v>
      </c>
      <c r="G38" s="95"/>
      <c r="H38" s="24">
        <v>-0.8</v>
      </c>
      <c r="I38" s="24">
        <v>0.64</v>
      </c>
      <c r="J38" s="13"/>
      <c r="K38" s="95" t="s">
        <v>17</v>
      </c>
      <c r="L38" s="95"/>
      <c r="M38" s="24">
        <v>1.4</v>
      </c>
      <c r="N38" s="24">
        <v>1.96</v>
      </c>
      <c r="O38" s="14"/>
    </row>
    <row r="39" spans="2:15">
      <c r="B39" s="12"/>
      <c r="C39" s="13"/>
      <c r="D39" s="13"/>
      <c r="E39" s="13"/>
      <c r="F39" s="13"/>
      <c r="G39" s="13"/>
      <c r="H39" s="13"/>
      <c r="I39" s="13">
        <f>SUM(I34:I38)</f>
        <v>1.88</v>
      </c>
      <c r="J39" s="13"/>
      <c r="K39" s="13"/>
      <c r="L39" s="13"/>
      <c r="M39" s="13"/>
      <c r="N39" s="13">
        <f>SUM(N34:N38)</f>
        <v>5.2</v>
      </c>
      <c r="O39" s="14"/>
    </row>
    <row r="40" spans="2:15" ht="15" thickBot="1">
      <c r="B40" s="16"/>
      <c r="C40" s="17"/>
      <c r="D40" s="17"/>
      <c r="E40" s="17"/>
      <c r="F40" s="17"/>
      <c r="G40" s="17"/>
      <c r="H40" s="17"/>
      <c r="I40" s="17"/>
      <c r="J40" s="17"/>
      <c r="K40" s="17"/>
      <c r="L40" s="17"/>
      <c r="M40" s="17"/>
      <c r="N40" s="17"/>
      <c r="O40" s="18"/>
    </row>
  </sheetData>
  <mergeCells count="12">
    <mergeCell ref="K38:L38"/>
    <mergeCell ref="F33:G33"/>
    <mergeCell ref="F34:G34"/>
    <mergeCell ref="F35:G35"/>
    <mergeCell ref="F36:G36"/>
    <mergeCell ref="F37:G37"/>
    <mergeCell ref="F38:G38"/>
    <mergeCell ref="K33:L33"/>
    <mergeCell ref="K34:L34"/>
    <mergeCell ref="K35:L35"/>
    <mergeCell ref="K36:L36"/>
    <mergeCell ref="K37:L37"/>
  </mergeCells>
  <pageMargins left="0.7" right="0.7" top="0.75" bottom="0.75" header="0.3" footer="0.3"/>
  <pageSetup orientation="portrait" horizontalDpi="4294967294"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I10:K16"/>
  <sheetViews>
    <sheetView workbookViewId="0">
      <selection activeCell="I11" sqref="I11:K16"/>
    </sheetView>
  </sheetViews>
  <sheetFormatPr defaultRowHeight="14.5"/>
  <sheetData>
    <row r="10" spans="9:11" ht="15" thickBot="1"/>
    <row r="11" spans="9:11" ht="62.5" thickBot="1">
      <c r="I11" s="3" t="s">
        <v>20</v>
      </c>
      <c r="J11" s="13"/>
      <c r="K11" s="3" t="s">
        <v>0</v>
      </c>
    </row>
    <row r="12" spans="9:11" ht="31.5" thickBot="1">
      <c r="I12" s="5" t="s">
        <v>21</v>
      </c>
      <c r="J12" s="13"/>
      <c r="K12" s="2">
        <v>1</v>
      </c>
    </row>
    <row r="13" spans="9:11" ht="31.5" thickBot="1">
      <c r="I13" s="5" t="s">
        <v>21</v>
      </c>
      <c r="J13" s="13"/>
      <c r="K13" s="2">
        <v>2</v>
      </c>
    </row>
    <row r="14" spans="9:11" ht="31.5" thickBot="1">
      <c r="I14" s="5" t="s">
        <v>21</v>
      </c>
      <c r="J14" s="13"/>
      <c r="K14" s="2">
        <v>3</v>
      </c>
    </row>
    <row r="15" spans="9:11" ht="31.5" thickBot="1">
      <c r="I15" s="5" t="s">
        <v>21</v>
      </c>
      <c r="J15" s="13"/>
      <c r="K15" s="2">
        <v>4</v>
      </c>
    </row>
    <row r="16" spans="9:11" ht="31.5" thickBot="1">
      <c r="I16" s="5" t="s">
        <v>21</v>
      </c>
      <c r="J16" s="13"/>
      <c r="K16" s="2">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2B6F8-541D-4C97-9F6F-5345E1FAE591}">
  <dimension ref="A1:H176"/>
  <sheetViews>
    <sheetView tabSelected="1" topLeftCell="B155" workbookViewId="0">
      <selection activeCell="F142" sqref="F142"/>
    </sheetView>
  </sheetViews>
  <sheetFormatPr defaultRowHeight="14.5"/>
  <sheetData>
    <row r="1" spans="2:6">
      <c r="E1" t="s">
        <v>112</v>
      </c>
    </row>
    <row r="3" spans="2:6">
      <c r="E3" t="s">
        <v>163</v>
      </c>
    </row>
    <row r="5" spans="2:6">
      <c r="E5" t="s">
        <v>113</v>
      </c>
      <c r="F5" t="s">
        <v>113</v>
      </c>
    </row>
    <row r="6" spans="2:6">
      <c r="B6" t="s">
        <v>98</v>
      </c>
      <c r="C6" t="s">
        <v>99</v>
      </c>
      <c r="E6" t="s">
        <v>114</v>
      </c>
      <c r="F6" t="s">
        <v>115</v>
      </c>
    </row>
    <row r="7" spans="2:6">
      <c r="B7">
        <v>1</v>
      </c>
      <c r="C7">
        <v>5</v>
      </c>
      <c r="E7">
        <f>C7-C$13</f>
        <v>-5</v>
      </c>
      <c r="F7">
        <f>(C7-C$13)^2</f>
        <v>25</v>
      </c>
    </row>
    <row r="8" spans="2:6">
      <c r="B8">
        <v>2</v>
      </c>
      <c r="C8">
        <v>17</v>
      </c>
      <c r="E8">
        <f t="shared" ref="E8:E12" si="0">C8-C$13</f>
        <v>7</v>
      </c>
      <c r="F8">
        <f t="shared" ref="F8:F12" si="1">(C8-C$13)^2</f>
        <v>49</v>
      </c>
    </row>
    <row r="9" spans="2:6">
      <c r="B9">
        <v>3</v>
      </c>
      <c r="C9">
        <v>11</v>
      </c>
      <c r="E9">
        <f t="shared" si="0"/>
        <v>1</v>
      </c>
      <c r="F9">
        <f t="shared" si="1"/>
        <v>1</v>
      </c>
    </row>
    <row r="10" spans="2:6">
      <c r="B10">
        <v>4</v>
      </c>
      <c r="C10">
        <v>8</v>
      </c>
      <c r="E10">
        <f t="shared" si="0"/>
        <v>-2</v>
      </c>
      <c r="F10">
        <f t="shared" si="1"/>
        <v>4</v>
      </c>
    </row>
    <row r="11" spans="2:6">
      <c r="B11">
        <v>5</v>
      </c>
      <c r="C11">
        <v>14</v>
      </c>
      <c r="E11">
        <f t="shared" si="0"/>
        <v>4</v>
      </c>
      <c r="F11">
        <f t="shared" si="1"/>
        <v>16</v>
      </c>
    </row>
    <row r="12" spans="2:6">
      <c r="B12">
        <v>6</v>
      </c>
      <c r="C12">
        <v>5</v>
      </c>
      <c r="E12">
        <f t="shared" si="0"/>
        <v>-5</v>
      </c>
      <c r="F12">
        <f t="shared" si="1"/>
        <v>25</v>
      </c>
    </row>
    <row r="13" spans="2:6">
      <c r="C13">
        <f>AVERAGE(C7:C12)</f>
        <v>10</v>
      </c>
      <c r="F13">
        <f>SUM(F7:F12)</f>
        <v>120</v>
      </c>
    </row>
    <row r="14" spans="2:6">
      <c r="E14" t="s">
        <v>117</v>
      </c>
    </row>
    <row r="17" spans="1:3">
      <c r="A17" t="s">
        <v>100</v>
      </c>
    </row>
    <row r="18" spans="1:3">
      <c r="A18" t="s">
        <v>101</v>
      </c>
    </row>
    <row r="19" spans="1:3">
      <c r="A19" t="s">
        <v>102</v>
      </c>
    </row>
    <row r="20" spans="1:3">
      <c r="A20" t="s">
        <v>103</v>
      </c>
    </row>
    <row r="21" spans="1:3">
      <c r="A21" t="s">
        <v>107</v>
      </c>
      <c r="C21" t="s">
        <v>109</v>
      </c>
    </row>
    <row r="22" spans="1:3">
      <c r="A22" t="s">
        <v>104</v>
      </c>
    </row>
    <row r="23" spans="1:3">
      <c r="A23" t="s">
        <v>105</v>
      </c>
    </row>
    <row r="24" spans="1:3">
      <c r="A24" t="s">
        <v>106</v>
      </c>
    </row>
    <row r="26" spans="1:3">
      <c r="A26" t="s">
        <v>108</v>
      </c>
    </row>
    <row r="27" spans="1:3">
      <c r="B27" t="s">
        <v>110</v>
      </c>
    </row>
    <row r="28" spans="1:3">
      <c r="B28" t="s">
        <v>111</v>
      </c>
    </row>
    <row r="29" spans="1:3">
      <c r="B29" t="s">
        <v>116</v>
      </c>
    </row>
    <row r="56" spans="4:4">
      <c r="D56" t="s">
        <v>118</v>
      </c>
    </row>
    <row r="58" spans="4:4">
      <c r="D58" t="s">
        <v>119</v>
      </c>
    </row>
    <row r="60" spans="4:4">
      <c r="D60" t="s">
        <v>120</v>
      </c>
    </row>
    <row r="62" spans="4:4">
      <c r="D62" t="s">
        <v>121</v>
      </c>
    </row>
    <row r="64" spans="4:4">
      <c r="D64" t="s">
        <v>122</v>
      </c>
    </row>
    <row r="66" spans="4:4">
      <c r="D66" t="s">
        <v>123</v>
      </c>
    </row>
    <row r="68" spans="4:4">
      <c r="D68" t="s">
        <v>124</v>
      </c>
    </row>
    <row r="70" spans="4:4">
      <c r="D70" t="s">
        <v>125</v>
      </c>
    </row>
    <row r="71" spans="4:4">
      <c r="D71" t="s">
        <v>126</v>
      </c>
    </row>
    <row r="72" spans="4:4">
      <c r="D72" t="s">
        <v>127</v>
      </c>
    </row>
    <row r="74" spans="4:4">
      <c r="D74" t="s">
        <v>128</v>
      </c>
    </row>
    <row r="76" spans="4:4">
      <c r="D76" t="s">
        <v>129</v>
      </c>
    </row>
    <row r="78" spans="4:4">
      <c r="D78" t="s">
        <v>130</v>
      </c>
    </row>
    <row r="79" spans="4:4">
      <c r="D79" t="s">
        <v>131</v>
      </c>
    </row>
    <row r="80" spans="4:4">
      <c r="D80" t="s">
        <v>132</v>
      </c>
    </row>
    <row r="81" spans="4:4">
      <c r="D81" t="s">
        <v>133</v>
      </c>
    </row>
    <row r="83" spans="4:4">
      <c r="D83" t="s">
        <v>134</v>
      </c>
    </row>
    <row r="85" spans="4:4">
      <c r="D85" t="s">
        <v>135</v>
      </c>
    </row>
    <row r="87" spans="4:4">
      <c r="D87" t="s">
        <v>136</v>
      </c>
    </row>
    <row r="88" spans="4:4">
      <c r="D88" t="s">
        <v>137</v>
      </c>
    </row>
    <row r="89" spans="4:4">
      <c r="D89" t="s">
        <v>138</v>
      </c>
    </row>
    <row r="90" spans="4:4">
      <c r="D90" t="s">
        <v>139</v>
      </c>
    </row>
    <row r="92" spans="4:4">
      <c r="D92" t="s">
        <v>140</v>
      </c>
    </row>
    <row r="94" spans="4:4">
      <c r="D94" t="s">
        <v>141</v>
      </c>
    </row>
    <row r="96" spans="4:4">
      <c r="D96" t="s">
        <v>142</v>
      </c>
    </row>
    <row r="98" spans="3:4">
      <c r="D98" t="s">
        <v>143</v>
      </c>
    </row>
    <row r="100" spans="3:4">
      <c r="D100" s="92">
        <v>43832</v>
      </c>
    </row>
    <row r="102" spans="3:4">
      <c r="D102" t="s">
        <v>144</v>
      </c>
    </row>
    <row r="104" spans="3:4">
      <c r="D104" t="s">
        <v>145</v>
      </c>
    </row>
    <row r="105" spans="3:4">
      <c r="C105">
        <v>1</v>
      </c>
      <c r="D105" t="s">
        <v>146</v>
      </c>
    </row>
    <row r="106" spans="3:4">
      <c r="C106">
        <v>2</v>
      </c>
      <c r="D106" t="s">
        <v>147</v>
      </c>
    </row>
    <row r="107" spans="3:4">
      <c r="D107" t="s">
        <v>148</v>
      </c>
    </row>
    <row r="108" spans="3:4">
      <c r="D108" t="s">
        <v>149</v>
      </c>
    </row>
    <row r="109" spans="3:4">
      <c r="C109">
        <v>3</v>
      </c>
      <c r="D109" t="s">
        <v>150</v>
      </c>
    </row>
    <row r="110" spans="3:4">
      <c r="D110" t="s">
        <v>151</v>
      </c>
    </row>
    <row r="111" spans="3:4">
      <c r="C111">
        <v>4</v>
      </c>
      <c r="D111" t="s">
        <v>152</v>
      </c>
    </row>
    <row r="112" spans="3:4">
      <c r="D112" t="s">
        <v>153</v>
      </c>
    </row>
    <row r="113" spans="3:6">
      <c r="D113" t="s">
        <v>154</v>
      </c>
    </row>
    <row r="114" spans="3:6">
      <c r="D114" t="s">
        <v>155</v>
      </c>
    </row>
    <row r="115" spans="3:6">
      <c r="D115" t="s">
        <v>156</v>
      </c>
    </row>
    <row r="116" spans="3:6">
      <c r="C116">
        <v>5</v>
      </c>
      <c r="D116" t="s">
        <v>157</v>
      </c>
    </row>
    <row r="118" spans="3:6">
      <c r="D118" t="s">
        <v>158</v>
      </c>
    </row>
    <row r="120" spans="3:6">
      <c r="D120" t="s">
        <v>159</v>
      </c>
      <c r="F120" t="s">
        <v>160</v>
      </c>
    </row>
    <row r="122" spans="3:6">
      <c r="D122" t="s">
        <v>161</v>
      </c>
    </row>
    <row r="123" spans="3:6">
      <c r="D123" t="s">
        <v>162</v>
      </c>
    </row>
    <row r="125" spans="3:6">
      <c r="D125" t="s">
        <v>143</v>
      </c>
    </row>
    <row r="127" spans="3:6">
      <c r="D127" t="s">
        <v>164</v>
      </c>
    </row>
    <row r="128" spans="3:6">
      <c r="D128" t="s">
        <v>165</v>
      </c>
    </row>
    <row r="129" spans="4:4">
      <c r="D129" t="s">
        <v>166</v>
      </c>
    </row>
    <row r="130" spans="4:4">
      <c r="D130" t="s">
        <v>167</v>
      </c>
    </row>
    <row r="131" spans="4:4">
      <c r="D131" t="s">
        <v>168</v>
      </c>
    </row>
    <row r="134" spans="4:4">
      <c r="D134" t="s">
        <v>169</v>
      </c>
    </row>
    <row r="135" spans="4:4">
      <c r="D135" t="s">
        <v>170</v>
      </c>
    </row>
    <row r="136" spans="4:4">
      <c r="D136" t="s">
        <v>171</v>
      </c>
    </row>
    <row r="137" spans="4:4">
      <c r="D137" t="s">
        <v>172</v>
      </c>
    </row>
    <row r="140" spans="4:4" ht="23.5">
      <c r="D140" s="93" t="s">
        <v>185</v>
      </c>
    </row>
    <row r="141" spans="4:4">
      <c r="D141" t="s">
        <v>176</v>
      </c>
    </row>
    <row r="142" spans="4:4">
      <c r="D142" t="s">
        <v>173</v>
      </c>
    </row>
    <row r="143" spans="4:4">
      <c r="D143" t="s">
        <v>174</v>
      </c>
    </row>
    <row r="144" spans="4:4">
      <c r="D144" t="s">
        <v>175</v>
      </c>
    </row>
    <row r="158" spans="4:8">
      <c r="E158" t="s">
        <v>180</v>
      </c>
      <c r="F158" t="s">
        <v>179</v>
      </c>
    </row>
    <row r="159" spans="4:8">
      <c r="D159" t="s">
        <v>98</v>
      </c>
      <c r="E159" t="s">
        <v>177</v>
      </c>
      <c r="F159" t="s">
        <v>178</v>
      </c>
      <c r="G159" t="s">
        <v>114</v>
      </c>
      <c r="H159" t="s">
        <v>115</v>
      </c>
    </row>
    <row r="160" spans="4:8">
      <c r="D160">
        <v>1</v>
      </c>
      <c r="E160">
        <v>4</v>
      </c>
      <c r="F160">
        <v>5</v>
      </c>
      <c r="G160">
        <f>E160-E$13</f>
        <v>4</v>
      </c>
      <c r="H160">
        <f>(E160-E$13)^2</f>
        <v>16</v>
      </c>
    </row>
    <row r="161" spans="4:8">
      <c r="D161">
        <v>2</v>
      </c>
      <c r="E161">
        <v>15</v>
      </c>
      <c r="F161">
        <v>17</v>
      </c>
      <c r="G161">
        <f t="shared" ref="G161:G165" si="2">E161-E$13</f>
        <v>15</v>
      </c>
      <c r="H161">
        <f t="shared" ref="H161:H165" si="3">(E161-E$13)^2</f>
        <v>225</v>
      </c>
    </row>
    <row r="162" spans="4:8">
      <c r="D162">
        <v>3</v>
      </c>
      <c r="E162">
        <v>10</v>
      </c>
      <c r="F162">
        <v>11</v>
      </c>
      <c r="G162">
        <f t="shared" si="2"/>
        <v>10</v>
      </c>
      <c r="H162">
        <f t="shared" si="3"/>
        <v>100</v>
      </c>
    </row>
    <row r="163" spans="4:8">
      <c r="D163">
        <v>4</v>
      </c>
      <c r="E163">
        <v>7</v>
      </c>
      <c r="F163">
        <v>8</v>
      </c>
      <c r="G163">
        <f t="shared" si="2"/>
        <v>7</v>
      </c>
      <c r="H163">
        <f t="shared" si="3"/>
        <v>49</v>
      </c>
    </row>
    <row r="164" spans="4:8">
      <c r="D164">
        <v>5</v>
      </c>
      <c r="E164">
        <v>13</v>
      </c>
      <c r="F164">
        <v>14</v>
      </c>
      <c r="G164">
        <f t="shared" si="2"/>
        <v>13</v>
      </c>
      <c r="H164">
        <f t="shared" si="3"/>
        <v>169</v>
      </c>
    </row>
    <row r="165" spans="4:8">
      <c r="D165">
        <v>6</v>
      </c>
      <c r="E165">
        <v>3</v>
      </c>
      <c r="F165">
        <v>5</v>
      </c>
      <c r="G165">
        <f t="shared" si="2"/>
        <v>3</v>
      </c>
      <c r="H165">
        <f t="shared" si="3"/>
        <v>9</v>
      </c>
    </row>
    <row r="166" spans="4:8">
      <c r="E166">
        <f>AVERAGE(E160:E165)</f>
        <v>8.6666666666666661</v>
      </c>
      <c r="F166">
        <f>AVERAGE(F160:F165)</f>
        <v>10</v>
      </c>
      <c r="H166">
        <f>SUM(H160:H165)</f>
        <v>568</v>
      </c>
    </row>
    <row r="167" spans="4:8">
      <c r="G167" t="s">
        <v>117</v>
      </c>
    </row>
    <row r="169" spans="4:8">
      <c r="D169" t="s">
        <v>181</v>
      </c>
    </row>
    <row r="170" spans="4:8">
      <c r="D170" t="s">
        <v>173</v>
      </c>
    </row>
    <row r="171" spans="4:8">
      <c r="D171" t="s">
        <v>174</v>
      </c>
    </row>
    <row r="172" spans="4:8">
      <c r="D172" t="s">
        <v>175</v>
      </c>
    </row>
    <row r="174" spans="4:8">
      <c r="D174" t="s">
        <v>182</v>
      </c>
    </row>
    <row r="175" spans="4:8">
      <c r="D175" t="s">
        <v>183</v>
      </c>
    </row>
    <row r="176" spans="4:8">
      <c r="D176" t="s">
        <v>184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7FD7-3282-49AD-8A57-40F270891A47}">
  <dimension ref="A1"/>
  <sheetViews>
    <sheetView workbookViewId="0">
      <selection activeCell="E6" sqref="E6"/>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Calc</vt:lpstr>
      <vt:lpstr>Sheet2</vt:lpstr>
      <vt:lpstr>Linear Regression</vt:lpstr>
      <vt:lpstr>Sheet3</vt:lpstr>
      <vt:lpstr>BasicLinear</vt:lpstr>
      <vt:lpstr>SalaryPredicts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Arun kumar Nair</cp:lastModifiedBy>
  <dcterms:created xsi:type="dcterms:W3CDTF">2019-06-23T16:14:35Z</dcterms:created>
  <dcterms:modified xsi:type="dcterms:W3CDTF">2021-07-26T12:30:31Z</dcterms:modified>
</cp:coreProperties>
</file>