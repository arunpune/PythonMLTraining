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6_MachineLearning_And_linear_Regression\Code-Sal-Advt-Weather\SalaryExperiencePredictions\"/>
    </mc:Choice>
  </mc:AlternateContent>
  <xr:revisionPtr revIDLastSave="0" documentId="13_ncr:1_{98DFDAD9-DD28-4942-B5FD-428624DB33C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ginalSalaryData" sheetId="3" r:id="rId1"/>
    <sheet name="TrainTestsalaryData" sheetId="1" r:id="rId2"/>
    <sheet name="Sheet1" sheetId="4" r:id="rId3"/>
  </sheets>
  <calcPr calcId="191029"/>
</workbook>
</file>

<file path=xl/calcChain.xml><?xml version="1.0" encoding="utf-8"?>
<calcChain xmlns="http://schemas.openxmlformats.org/spreadsheetml/2006/main">
  <c r="H29" i="4" l="1"/>
  <c r="H30" i="4"/>
  <c r="H31" i="4"/>
  <c r="H32" i="4"/>
  <c r="H33" i="4"/>
  <c r="H34" i="4"/>
  <c r="H35" i="4"/>
  <c r="H36" i="4"/>
  <c r="H37" i="4"/>
  <c r="H38" i="4"/>
  <c r="H8" i="4"/>
  <c r="H9" i="4"/>
  <c r="H10" i="4"/>
  <c r="H11" i="4"/>
  <c r="H12" i="4"/>
  <c r="H13" i="4"/>
  <c r="H14" i="4"/>
  <c r="H15" i="4"/>
  <c r="H16" i="4"/>
  <c r="H17" i="4"/>
  <c r="M41" i="1"/>
  <c r="M42" i="1"/>
  <c r="M43" i="1"/>
  <c r="M40" i="1"/>
  <c r="M44" i="1" l="1"/>
</calcChain>
</file>

<file path=xl/sharedStrings.xml><?xml version="1.0" encoding="utf-8"?>
<sst xmlns="http://schemas.openxmlformats.org/spreadsheetml/2006/main" count="93" uniqueCount="63">
  <si>
    <t>YearsExperience</t>
  </si>
  <si>
    <t>Salary</t>
  </si>
  <si>
    <t>y</t>
  </si>
  <si>
    <t>Training Data</t>
  </si>
  <si>
    <t>Test Data</t>
  </si>
  <si>
    <t>X</t>
  </si>
  <si>
    <t>Y</t>
  </si>
  <si>
    <t>Experience</t>
  </si>
  <si>
    <t>Actual Answer</t>
  </si>
  <si>
    <t>Y(Predict)</t>
  </si>
  <si>
    <t>Predict Answer</t>
  </si>
  <si>
    <t>Predicted Salary</t>
  </si>
  <si>
    <t>Actual Experience</t>
  </si>
  <si>
    <t>Error</t>
  </si>
  <si>
    <t>Coefficient of Accuracy</t>
  </si>
  <si>
    <t>Good ness of Fit</t>
  </si>
  <si>
    <t>R SQUARE</t>
  </si>
  <si>
    <t>80 percent of your data answer are in the range of correctness</t>
  </si>
  <si>
    <t>50 percent correct answers</t>
  </si>
  <si>
    <t>80 percent</t>
  </si>
  <si>
    <t>y_predict</t>
  </si>
  <si>
    <t>y = mx +c</t>
  </si>
  <si>
    <t>Random_state =0</t>
  </si>
  <si>
    <t>seed value</t>
  </si>
  <si>
    <t>X_Train</t>
  </si>
  <si>
    <t>Y_Train</t>
  </si>
  <si>
    <t>X_Test</t>
  </si>
  <si>
    <t>Y_Test</t>
  </si>
  <si>
    <t>Exp</t>
  </si>
  <si>
    <t>Predict Salry</t>
  </si>
  <si>
    <t>102806.13282139,</t>
  </si>
  <si>
    <t>107382.62670648,</t>
  </si>
  <si>
    <t>115620.31569966,</t>
  </si>
  <si>
    <t>Predicted</t>
  </si>
  <si>
    <t>yTest</t>
  </si>
  <si>
    <t>yPredict</t>
  </si>
  <si>
    <t>xTest</t>
  </si>
  <si>
    <t>#y=mx+c  ---&gt; y= 9460.96544077 x + 26499.15318611</t>
  </si>
  <si>
    <t>72857.88384587,</t>
  </si>
  <si>
    <t>53935.95296434,</t>
  </si>
  <si>
    <t>101240.78016817,</t>
  </si>
  <si>
    <t>116378.3248734 ,</t>
  </si>
  <si>
    <t>82318.84928664,</t>
  </si>
  <si>
    <t>69073.49766956,</t>
  </si>
  <si>
    <t>65289.11149326,</t>
  </si>
  <si>
    <t>40690.60134726,</t>
  </si>
  <si>
    <t>74750.07693402,</t>
  </si>
  <si>
    <t xml:space="preserve">yPredict </t>
  </si>
  <si>
    <t>Using Excel</t>
  </si>
  <si>
    <t>Seed value =3</t>
  </si>
  <si>
    <t>Seed value =99</t>
  </si>
  <si>
    <t xml:space="preserve"> 74431.87073379,</t>
  </si>
  <si>
    <t xml:space="preserve"> 64363.58418658,</t>
  </si>
  <si>
    <t xml:space="preserve"> 92737.84627418,</t>
  </si>
  <si>
    <t xml:space="preserve"> 63448.28540956,</t>
  </si>
  <si>
    <t xml:space="preserve"> 72601.27317975,</t>
  </si>
  <si>
    <t xml:space="preserve"> 41481.11476109,</t>
  </si>
  <si>
    <t>#y=mx+c  ---&gt; y= 9152.98777019 x + 27751.6331058 =using seed of 99</t>
  </si>
  <si>
    <t>x_train</t>
  </si>
  <si>
    <t>y_train</t>
  </si>
  <si>
    <t>y_test</t>
  </si>
  <si>
    <t>x_test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</si>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</sst>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ourier New"/>
      <family val="3"/>
    </font>
    <font>
      <b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0" fontId="0" fillId="35" borderId="0" xfId="0" applyFill="1"/>
    <xf numFmtId="0" fontId="18" fillId="0" borderId="0" xfId="0" applyFont="1" applyAlignment="1">
      <alignment horizontal="left" vertical="center"/>
    </xf>
    <xf numFmtId="0" fontId="0" fillId="36" borderId="0" xfId="0" applyFill="1"/>
    <xf numFmtId="0" fontId="14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15" xfId="0" applyFill="1" applyBorder="1"/>
    <xf numFmtId="0" fontId="0" fillId="35" borderId="14" xfId="0" applyFill="1" applyBorder="1"/>
    <xf numFmtId="0" fontId="0" fillId="0" borderId="16" xfId="0" applyBorder="1"/>
    <xf numFmtId="0" fontId="0" fillId="34" borderId="15" xfId="0" applyFill="1" applyBorder="1"/>
    <xf numFmtId="0" fontId="0" fillId="0" borderId="17" xfId="0" applyBorder="1"/>
    <xf numFmtId="0" fontId="0" fillId="34" borderId="19" xfId="0" applyFill="1" applyBorder="1"/>
    <xf numFmtId="0" fontId="14" fillId="33" borderId="0" xfId="0" applyFont="1" applyFill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37" borderId="10" xfId="0" applyFill="1" applyBorder="1"/>
    <xf numFmtId="0" fontId="0" fillId="37" borderId="18" xfId="0" applyFill="1" applyBorder="1"/>
    <xf numFmtId="0" fontId="16" fillId="0" borderId="0" xfId="0" applyFont="1"/>
    <xf numFmtId="0" fontId="19" fillId="0" borderId="0" xfId="0" applyFont="1"/>
    <xf numFmtId="0" fontId="0" fillId="38" borderId="10" xfId="0" applyFill="1" applyBorder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C272-7A70-4065-851F-E13F1AB89AD1}">
  <dimension ref="A1:B31"/>
  <sheetViews>
    <sheetView workbookViewId="0">
      <selection activeCell="B1" sqref="B1"/>
    </sheetView>
  </sheetViews>
  <sheetFormatPr defaultRowHeight="14.5" x14ac:dyDescent="0.35"/>
  <cols>
    <col min="1" max="1" width="14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1.1000000000000001</v>
      </c>
      <c r="B2">
        <v>39343</v>
      </c>
    </row>
    <row r="3" spans="1:2" x14ac:dyDescent="0.35">
      <c r="A3">
        <v>1.3</v>
      </c>
      <c r="B3">
        <v>46205</v>
      </c>
    </row>
    <row r="4" spans="1:2" x14ac:dyDescent="0.35">
      <c r="A4">
        <v>1.5</v>
      </c>
      <c r="B4">
        <v>37731</v>
      </c>
    </row>
    <row r="5" spans="1:2" x14ac:dyDescent="0.35">
      <c r="A5">
        <v>2</v>
      </c>
      <c r="B5">
        <v>43525</v>
      </c>
    </row>
    <row r="6" spans="1:2" x14ac:dyDescent="0.35">
      <c r="A6">
        <v>2.2000000000000002</v>
      </c>
      <c r="B6">
        <v>39891</v>
      </c>
    </row>
    <row r="7" spans="1:2" x14ac:dyDescent="0.35">
      <c r="A7">
        <v>2.9</v>
      </c>
      <c r="B7">
        <v>56642</v>
      </c>
    </row>
    <row r="8" spans="1:2" x14ac:dyDescent="0.35">
      <c r="A8">
        <v>3</v>
      </c>
      <c r="B8">
        <v>60150</v>
      </c>
    </row>
    <row r="9" spans="1:2" x14ac:dyDescent="0.35">
      <c r="A9">
        <v>3.2</v>
      </c>
      <c r="B9">
        <v>54445</v>
      </c>
    </row>
    <row r="10" spans="1:2" x14ac:dyDescent="0.35">
      <c r="A10">
        <v>3.2</v>
      </c>
      <c r="B10">
        <v>64445</v>
      </c>
    </row>
    <row r="11" spans="1:2" x14ac:dyDescent="0.35">
      <c r="A11">
        <v>3.7</v>
      </c>
      <c r="B11">
        <v>57189</v>
      </c>
    </row>
    <row r="12" spans="1:2" x14ac:dyDescent="0.35">
      <c r="A12">
        <v>3.9</v>
      </c>
      <c r="B12">
        <v>63218</v>
      </c>
    </row>
    <row r="13" spans="1:2" x14ac:dyDescent="0.35">
      <c r="A13">
        <v>4</v>
      </c>
      <c r="B13">
        <v>55794</v>
      </c>
    </row>
    <row r="14" spans="1:2" x14ac:dyDescent="0.35">
      <c r="A14">
        <v>4</v>
      </c>
      <c r="B14">
        <v>56957</v>
      </c>
    </row>
    <row r="15" spans="1:2" x14ac:dyDescent="0.35">
      <c r="A15">
        <v>4.0999999999999996</v>
      </c>
      <c r="B15">
        <v>57081</v>
      </c>
    </row>
    <row r="16" spans="1:2" x14ac:dyDescent="0.35">
      <c r="A16">
        <v>4.5</v>
      </c>
      <c r="B16">
        <v>61111</v>
      </c>
    </row>
    <row r="17" spans="1:2" x14ac:dyDescent="0.35">
      <c r="A17">
        <v>4.9000000000000004</v>
      </c>
      <c r="B17">
        <v>67938</v>
      </c>
    </row>
    <row r="18" spans="1:2" x14ac:dyDescent="0.35">
      <c r="A18">
        <v>5.0999999999999996</v>
      </c>
      <c r="B18">
        <v>66029</v>
      </c>
    </row>
    <row r="19" spans="1:2" x14ac:dyDescent="0.35">
      <c r="A19">
        <v>5.3</v>
      </c>
      <c r="B19">
        <v>83088</v>
      </c>
    </row>
    <row r="20" spans="1:2" x14ac:dyDescent="0.35">
      <c r="A20">
        <v>5.9</v>
      </c>
      <c r="B20">
        <v>81363</v>
      </c>
    </row>
    <row r="21" spans="1:2" x14ac:dyDescent="0.35">
      <c r="A21">
        <v>6</v>
      </c>
      <c r="B21">
        <v>93940</v>
      </c>
    </row>
    <row r="22" spans="1:2" x14ac:dyDescent="0.35">
      <c r="A22">
        <v>6.8</v>
      </c>
      <c r="B22">
        <v>91738</v>
      </c>
    </row>
    <row r="23" spans="1:2" x14ac:dyDescent="0.35">
      <c r="A23">
        <v>7.1</v>
      </c>
      <c r="B23">
        <v>98273</v>
      </c>
    </row>
    <row r="24" spans="1:2" x14ac:dyDescent="0.35">
      <c r="A24">
        <v>7.9</v>
      </c>
      <c r="B24">
        <v>101302</v>
      </c>
    </row>
    <row r="25" spans="1:2" x14ac:dyDescent="0.35">
      <c r="A25">
        <v>8.1999999999999993</v>
      </c>
      <c r="B25">
        <v>113812</v>
      </c>
    </row>
    <row r="26" spans="1:2" x14ac:dyDescent="0.35">
      <c r="A26">
        <v>8.6999999999999993</v>
      </c>
      <c r="B26">
        <v>109431</v>
      </c>
    </row>
    <row r="27" spans="1:2" x14ac:dyDescent="0.35">
      <c r="A27">
        <v>9</v>
      </c>
      <c r="B27">
        <v>105582</v>
      </c>
    </row>
    <row r="28" spans="1:2" x14ac:dyDescent="0.35">
      <c r="A28">
        <v>9.5</v>
      </c>
      <c r="B28">
        <v>116969</v>
      </c>
    </row>
    <row r="29" spans="1:2" x14ac:dyDescent="0.35">
      <c r="A29">
        <v>9.6</v>
      </c>
      <c r="B29">
        <v>112635</v>
      </c>
    </row>
    <row r="30" spans="1:2" x14ac:dyDescent="0.35">
      <c r="A30">
        <v>10.3</v>
      </c>
      <c r="B30">
        <v>122391</v>
      </c>
    </row>
    <row r="31" spans="1:2" x14ac:dyDescent="0.35">
      <c r="A31">
        <v>10.5</v>
      </c>
      <c r="B31">
        <v>121872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72"/>
  <sheetViews>
    <sheetView tabSelected="1" topLeftCell="A20" workbookViewId="0">
      <selection activeCell="D26" sqref="D26:D35"/>
    </sheetView>
  </sheetViews>
  <sheetFormatPr defaultRowHeight="14.5" x14ac:dyDescent="0.35"/>
  <cols>
    <col min="3" max="3" width="14.54296875" bestFit="1" customWidth="1"/>
    <col min="9" max="9" width="15.6328125" bestFit="1" customWidth="1"/>
    <col min="10" max="10" width="12.7265625" bestFit="1" customWidth="1"/>
  </cols>
  <sheetData>
    <row r="2" spans="2:10" ht="15" thickBot="1" x14ac:dyDescent="0.4">
      <c r="J2" t="s">
        <v>22</v>
      </c>
    </row>
    <row r="3" spans="2:10" x14ac:dyDescent="0.35">
      <c r="C3" s="9" t="s">
        <v>5</v>
      </c>
      <c r="D3" s="10" t="s">
        <v>6</v>
      </c>
      <c r="E3" s="11"/>
    </row>
    <row r="4" spans="2:10" x14ac:dyDescent="0.35">
      <c r="C4" s="12" t="s">
        <v>0</v>
      </c>
      <c r="D4" t="s">
        <v>1</v>
      </c>
      <c r="E4" s="13"/>
      <c r="G4" t="s">
        <v>2</v>
      </c>
      <c r="J4" t="s">
        <v>23</v>
      </c>
    </row>
    <row r="5" spans="2:10" x14ac:dyDescent="0.35">
      <c r="C5" s="12"/>
      <c r="E5" s="13"/>
    </row>
    <row r="6" spans="2:10" x14ac:dyDescent="0.35">
      <c r="B6" s="1" t="s">
        <v>58</v>
      </c>
      <c r="C6" s="12">
        <v>1.1000000000000001</v>
      </c>
      <c r="D6">
        <v>39343</v>
      </c>
      <c r="E6" s="14" t="s">
        <v>59</v>
      </c>
      <c r="F6" t="s">
        <v>3</v>
      </c>
      <c r="H6" t="s">
        <v>20</v>
      </c>
    </row>
    <row r="7" spans="2:10" x14ac:dyDescent="0.35">
      <c r="B7" s="1"/>
      <c r="C7" s="12">
        <v>1.3</v>
      </c>
      <c r="D7">
        <v>46205</v>
      </c>
      <c r="E7" s="14"/>
      <c r="J7" t="s">
        <v>23</v>
      </c>
    </row>
    <row r="8" spans="2:10" ht="16" x14ac:dyDescent="0.35">
      <c r="B8" s="1"/>
      <c r="C8" s="15">
        <v>1.5</v>
      </c>
      <c r="D8" s="5">
        <v>37731</v>
      </c>
      <c r="E8" s="14"/>
      <c r="H8" s="6">
        <v>40835</v>
      </c>
    </row>
    <row r="9" spans="2:10" x14ac:dyDescent="0.35">
      <c r="B9" s="1"/>
      <c r="C9" s="12">
        <v>2</v>
      </c>
      <c r="D9">
        <v>43525</v>
      </c>
      <c r="E9" s="14"/>
    </row>
    <row r="10" spans="2:10" x14ac:dyDescent="0.35">
      <c r="B10" s="1"/>
      <c r="C10" s="12">
        <v>2.2000000000000002</v>
      </c>
      <c r="D10">
        <v>39891</v>
      </c>
      <c r="E10" s="14"/>
      <c r="H10" t="s">
        <v>21</v>
      </c>
    </row>
    <row r="11" spans="2:10" x14ac:dyDescent="0.35">
      <c r="B11" s="1"/>
      <c r="C11" s="12">
        <v>2.9</v>
      </c>
      <c r="D11">
        <v>56642</v>
      </c>
      <c r="E11" s="14"/>
    </row>
    <row r="12" spans="2:10" x14ac:dyDescent="0.35">
      <c r="B12" s="1"/>
      <c r="C12" s="12">
        <v>3</v>
      </c>
      <c r="D12">
        <v>60150</v>
      </c>
      <c r="E12" s="14"/>
    </row>
    <row r="13" spans="2:10" x14ac:dyDescent="0.35">
      <c r="B13" s="1"/>
      <c r="C13" s="12">
        <v>3.2</v>
      </c>
      <c r="D13">
        <v>54445</v>
      </c>
      <c r="E13" s="14"/>
    </row>
    <row r="14" spans="2:10" x14ac:dyDescent="0.35">
      <c r="B14" s="1"/>
      <c r="C14" s="12">
        <v>3.2</v>
      </c>
      <c r="D14">
        <v>64445</v>
      </c>
      <c r="E14" s="14"/>
    </row>
    <row r="15" spans="2:10" x14ac:dyDescent="0.35">
      <c r="B15" s="1"/>
      <c r="C15" s="12">
        <v>3.7</v>
      </c>
      <c r="D15">
        <v>57189</v>
      </c>
      <c r="E15" s="14"/>
    </row>
    <row r="16" spans="2:10" x14ac:dyDescent="0.35">
      <c r="B16" s="1"/>
      <c r="C16" s="12">
        <v>3.9</v>
      </c>
      <c r="D16">
        <v>63218</v>
      </c>
      <c r="E16" s="14"/>
    </row>
    <row r="17" spans="2:18" x14ac:dyDescent="0.35">
      <c r="B17" s="1"/>
      <c r="C17" s="12">
        <v>4</v>
      </c>
      <c r="D17">
        <v>55794</v>
      </c>
      <c r="E17" s="14"/>
      <c r="O17" t="s">
        <v>16</v>
      </c>
      <c r="P17">
        <v>0.8</v>
      </c>
      <c r="R17" t="s">
        <v>17</v>
      </c>
    </row>
    <row r="18" spans="2:18" x14ac:dyDescent="0.35">
      <c r="B18" s="1"/>
      <c r="C18" s="12">
        <v>4</v>
      </c>
      <c r="D18">
        <v>56957</v>
      </c>
      <c r="E18" s="14"/>
      <c r="O18" t="s">
        <v>15</v>
      </c>
    </row>
    <row r="19" spans="2:18" x14ac:dyDescent="0.35">
      <c r="B19" s="1"/>
      <c r="C19" s="12">
        <v>4.0999999999999996</v>
      </c>
      <c r="D19">
        <v>57081</v>
      </c>
      <c r="E19" s="14"/>
      <c r="O19" t="s">
        <v>14</v>
      </c>
      <c r="P19">
        <v>0.5</v>
      </c>
      <c r="R19" t="s">
        <v>18</v>
      </c>
    </row>
    <row r="20" spans="2:18" x14ac:dyDescent="0.35">
      <c r="B20" s="1"/>
      <c r="C20" s="12">
        <v>4.5</v>
      </c>
      <c r="D20">
        <v>61111</v>
      </c>
      <c r="E20" s="14"/>
    </row>
    <row r="21" spans="2:18" x14ac:dyDescent="0.35">
      <c r="B21" s="1"/>
      <c r="C21" s="12">
        <v>4.9000000000000004</v>
      </c>
      <c r="D21">
        <v>67938</v>
      </c>
      <c r="E21" s="14"/>
      <c r="R21" t="s">
        <v>19</v>
      </c>
    </row>
    <row r="22" spans="2:18" x14ac:dyDescent="0.35">
      <c r="B22" s="1"/>
      <c r="C22" s="12">
        <v>5.0999999999999996</v>
      </c>
      <c r="D22">
        <v>66029</v>
      </c>
      <c r="E22" s="14"/>
      <c r="I22" t="s">
        <v>7</v>
      </c>
      <c r="J22" t="s">
        <v>10</v>
      </c>
      <c r="M22" s="29" t="s">
        <v>8</v>
      </c>
      <c r="O22" t="s">
        <v>13</v>
      </c>
    </row>
    <row r="23" spans="2:18" x14ac:dyDescent="0.35">
      <c r="B23" s="1"/>
      <c r="C23" s="12">
        <v>5.3</v>
      </c>
      <c r="D23">
        <v>83088</v>
      </c>
      <c r="E23" s="14"/>
      <c r="I23" t="s">
        <v>12</v>
      </c>
      <c r="J23" t="s">
        <v>11</v>
      </c>
      <c r="M23" s="29" t="s">
        <v>1</v>
      </c>
    </row>
    <row r="24" spans="2:18" x14ac:dyDescent="0.35">
      <c r="B24" s="1"/>
      <c r="C24" s="12">
        <v>5.9</v>
      </c>
      <c r="D24">
        <v>81363</v>
      </c>
      <c r="E24" s="14"/>
      <c r="I24" t="s">
        <v>5</v>
      </c>
      <c r="J24" t="s">
        <v>9</v>
      </c>
      <c r="M24" s="29" t="s">
        <v>27</v>
      </c>
    </row>
    <row r="25" spans="2:18" x14ac:dyDescent="0.35">
      <c r="B25" s="1"/>
      <c r="C25" s="12">
        <v>6</v>
      </c>
      <c r="D25">
        <v>93940</v>
      </c>
      <c r="E25" s="14"/>
      <c r="M25" s="29"/>
    </row>
    <row r="26" spans="2:18" x14ac:dyDescent="0.35">
      <c r="B26" t="s">
        <v>61</v>
      </c>
      <c r="C26" s="16">
        <v>6.8</v>
      </c>
      <c r="D26" s="24">
        <v>91738</v>
      </c>
      <c r="E26" s="17"/>
      <c r="F26" t="s">
        <v>4</v>
      </c>
      <c r="I26" s="4">
        <v>6.8</v>
      </c>
      <c r="J26">
        <v>90000</v>
      </c>
      <c r="M26" s="28">
        <v>91738</v>
      </c>
      <c r="O26" t="s">
        <v>62</v>
      </c>
    </row>
    <row r="27" spans="2:18" x14ac:dyDescent="0.35">
      <c r="C27" s="16">
        <v>7.1</v>
      </c>
      <c r="D27" s="24">
        <v>98273</v>
      </c>
      <c r="E27" s="17"/>
      <c r="I27" s="4">
        <v>7.1</v>
      </c>
      <c r="J27">
        <v>80000</v>
      </c>
      <c r="M27" s="28">
        <v>98273</v>
      </c>
      <c r="O27" t="s">
        <v>62</v>
      </c>
    </row>
    <row r="28" spans="2:18" x14ac:dyDescent="0.35">
      <c r="C28" s="16">
        <v>7.9</v>
      </c>
      <c r="D28" s="24">
        <v>101302</v>
      </c>
      <c r="E28" s="17"/>
      <c r="I28" s="4">
        <v>7.9</v>
      </c>
      <c r="J28">
        <v>70000</v>
      </c>
      <c r="M28" s="28">
        <v>101302</v>
      </c>
      <c r="O28" t="s">
        <v>62</v>
      </c>
    </row>
    <row r="29" spans="2:18" x14ac:dyDescent="0.35">
      <c r="C29" s="16">
        <v>8.1999999999999993</v>
      </c>
      <c r="D29" s="24">
        <v>113812</v>
      </c>
      <c r="E29" s="17"/>
      <c r="I29" s="4">
        <v>8.1999999999999993</v>
      </c>
      <c r="J29">
        <v>90000</v>
      </c>
      <c r="M29" s="28">
        <v>113812</v>
      </c>
      <c r="O29" t="s">
        <v>62</v>
      </c>
    </row>
    <row r="30" spans="2:18" x14ac:dyDescent="0.35">
      <c r="C30" s="16">
        <v>8.6999999999999993</v>
      </c>
      <c r="D30" s="24">
        <v>109431</v>
      </c>
      <c r="E30" s="17"/>
      <c r="I30" s="4">
        <v>8.6999999999999993</v>
      </c>
      <c r="J30">
        <v>90000</v>
      </c>
      <c r="M30" s="28">
        <v>109431</v>
      </c>
      <c r="O30" t="s">
        <v>62</v>
      </c>
    </row>
    <row r="31" spans="2:18" x14ac:dyDescent="0.35">
      <c r="C31" s="16">
        <v>9</v>
      </c>
      <c r="D31" s="24">
        <v>105582</v>
      </c>
      <c r="E31" s="17"/>
      <c r="I31" s="4">
        <v>9</v>
      </c>
      <c r="J31">
        <v>90000</v>
      </c>
      <c r="M31" s="28">
        <v>105582</v>
      </c>
      <c r="O31" t="s">
        <v>62</v>
      </c>
    </row>
    <row r="32" spans="2:18" x14ac:dyDescent="0.35">
      <c r="C32" s="16">
        <v>9.5</v>
      </c>
      <c r="D32" s="24">
        <v>116969</v>
      </c>
      <c r="E32" s="17"/>
      <c r="I32" s="4">
        <v>9.5</v>
      </c>
      <c r="J32">
        <v>90000</v>
      </c>
      <c r="M32" s="28">
        <v>116969</v>
      </c>
      <c r="O32" t="s">
        <v>62</v>
      </c>
    </row>
    <row r="33" spans="3:15" x14ac:dyDescent="0.35">
      <c r="C33" s="16">
        <v>9.6</v>
      </c>
      <c r="D33" s="24">
        <v>112635</v>
      </c>
      <c r="E33" s="17"/>
      <c r="I33" s="4">
        <v>9.6</v>
      </c>
      <c r="J33">
        <v>90000</v>
      </c>
      <c r="M33" s="28">
        <v>112635</v>
      </c>
      <c r="O33" t="s">
        <v>62</v>
      </c>
    </row>
    <row r="34" spans="3:15" x14ac:dyDescent="0.35">
      <c r="C34" s="16">
        <v>10.3</v>
      </c>
      <c r="D34" s="24">
        <v>122391</v>
      </c>
      <c r="E34" s="17"/>
      <c r="I34" s="4">
        <v>10.3</v>
      </c>
      <c r="J34">
        <v>90000</v>
      </c>
      <c r="M34" s="28">
        <v>122391</v>
      </c>
      <c r="O34" t="s">
        <v>62</v>
      </c>
    </row>
    <row r="35" spans="3:15" ht="15" thickBot="1" x14ac:dyDescent="0.4">
      <c r="C35" s="18">
        <v>10.5</v>
      </c>
      <c r="D35" s="25">
        <v>121872</v>
      </c>
      <c r="E35" s="19"/>
      <c r="I35" s="4">
        <v>10.5</v>
      </c>
      <c r="J35">
        <v>90000</v>
      </c>
      <c r="M35" s="28">
        <v>121872</v>
      </c>
      <c r="O35" t="s">
        <v>62</v>
      </c>
    </row>
    <row r="36" spans="3:15" x14ac:dyDescent="0.35">
      <c r="C36" s="26" t="s">
        <v>61</v>
      </c>
      <c r="D36" s="27" t="s">
        <v>60</v>
      </c>
      <c r="E36" s="26" t="s">
        <v>20</v>
      </c>
    </row>
    <row r="38" spans="3:15" x14ac:dyDescent="0.35">
      <c r="C38" t="s">
        <v>24</v>
      </c>
      <c r="D38" t="s">
        <v>25</v>
      </c>
    </row>
    <row r="39" spans="3:15" x14ac:dyDescent="0.35">
      <c r="C39" t="s">
        <v>0</v>
      </c>
      <c r="D39" t="s">
        <v>1</v>
      </c>
      <c r="J39" t="s">
        <v>28</v>
      </c>
      <c r="K39" t="s">
        <v>1</v>
      </c>
      <c r="L39" t="s">
        <v>29</v>
      </c>
    </row>
    <row r="40" spans="3:15" x14ac:dyDescent="0.35">
      <c r="C40">
        <v>1.1000000000000001</v>
      </c>
      <c r="D40">
        <v>39343</v>
      </c>
      <c r="E40" s="1"/>
      <c r="J40">
        <v>1.1000000000000001</v>
      </c>
      <c r="K40">
        <v>39343</v>
      </c>
      <c r="L40">
        <v>39000</v>
      </c>
      <c r="M40">
        <f>K40-L40</f>
        <v>343</v>
      </c>
    </row>
    <row r="41" spans="3:15" x14ac:dyDescent="0.35">
      <c r="C41">
        <v>1.3</v>
      </c>
      <c r="D41">
        <v>46205</v>
      </c>
      <c r="E41" s="1"/>
      <c r="J41">
        <v>1.3</v>
      </c>
      <c r="K41">
        <v>46205</v>
      </c>
      <c r="L41">
        <v>47000</v>
      </c>
      <c r="M41">
        <f t="shared" ref="M41:M43" si="0">K41-L41</f>
        <v>-795</v>
      </c>
    </row>
    <row r="42" spans="3:15" x14ac:dyDescent="0.35">
      <c r="C42" s="5">
        <v>1.5</v>
      </c>
      <c r="D42" s="5">
        <v>37731</v>
      </c>
      <c r="E42" s="1"/>
      <c r="J42" s="5">
        <v>1.5</v>
      </c>
      <c r="K42" s="5">
        <v>37731</v>
      </c>
      <c r="L42">
        <v>37700</v>
      </c>
      <c r="M42">
        <f t="shared" si="0"/>
        <v>31</v>
      </c>
    </row>
    <row r="43" spans="3:15" x14ac:dyDescent="0.35">
      <c r="C43">
        <v>2</v>
      </c>
      <c r="D43">
        <v>43525</v>
      </c>
      <c r="E43" s="1"/>
      <c r="J43">
        <v>2</v>
      </c>
      <c r="K43">
        <v>43525</v>
      </c>
      <c r="L43">
        <v>43234</v>
      </c>
      <c r="M43">
        <f t="shared" si="0"/>
        <v>291</v>
      </c>
    </row>
    <row r="44" spans="3:15" x14ac:dyDescent="0.35">
      <c r="C44">
        <v>2.2000000000000002</v>
      </c>
      <c r="D44">
        <v>39891</v>
      </c>
      <c r="E44" s="1"/>
      <c r="M44" s="8">
        <f>SUM(M40:M43)</f>
        <v>-130</v>
      </c>
    </row>
    <row r="45" spans="3:15" x14ac:dyDescent="0.35">
      <c r="C45">
        <v>2.9</v>
      </c>
      <c r="D45">
        <v>56642</v>
      </c>
      <c r="E45" s="1"/>
    </row>
    <row r="46" spans="3:15" x14ac:dyDescent="0.35">
      <c r="C46">
        <v>3</v>
      </c>
      <c r="D46">
        <v>60150</v>
      </c>
      <c r="E46" s="1"/>
    </row>
    <row r="47" spans="3:15" x14ac:dyDescent="0.35">
      <c r="C47">
        <v>3.2</v>
      </c>
      <c r="D47">
        <v>54445</v>
      </c>
      <c r="E47" s="1"/>
    </row>
    <row r="48" spans="3:15" x14ac:dyDescent="0.35">
      <c r="C48">
        <v>3.2</v>
      </c>
      <c r="D48">
        <v>64445</v>
      </c>
      <c r="E48" s="1"/>
    </row>
    <row r="49" spans="3:5" x14ac:dyDescent="0.35">
      <c r="C49">
        <v>3.7</v>
      </c>
      <c r="D49">
        <v>57189</v>
      </c>
      <c r="E49" s="1"/>
    </row>
    <row r="50" spans="3:5" x14ac:dyDescent="0.35">
      <c r="C50">
        <v>3.9</v>
      </c>
      <c r="D50">
        <v>63218</v>
      </c>
      <c r="E50" s="1"/>
    </row>
    <row r="51" spans="3:5" x14ac:dyDescent="0.35">
      <c r="C51">
        <v>4</v>
      </c>
      <c r="D51">
        <v>55794</v>
      </c>
      <c r="E51" s="1"/>
    </row>
    <row r="52" spans="3:5" x14ac:dyDescent="0.35">
      <c r="C52">
        <v>4</v>
      </c>
      <c r="D52">
        <v>56957</v>
      </c>
      <c r="E52" s="1"/>
    </row>
    <row r="53" spans="3:5" x14ac:dyDescent="0.35">
      <c r="C53">
        <v>4.0999999999999996</v>
      </c>
      <c r="D53">
        <v>57081</v>
      </c>
      <c r="E53" s="1"/>
    </row>
    <row r="54" spans="3:5" x14ac:dyDescent="0.35">
      <c r="C54">
        <v>4.5</v>
      </c>
      <c r="D54">
        <v>61111</v>
      </c>
      <c r="E54" s="1"/>
    </row>
    <row r="55" spans="3:5" x14ac:dyDescent="0.35">
      <c r="C55">
        <v>4.9000000000000004</v>
      </c>
      <c r="D55">
        <v>67938</v>
      </c>
      <c r="E55" s="1"/>
    </row>
    <row r="56" spans="3:5" x14ac:dyDescent="0.35">
      <c r="C56">
        <v>5.0999999999999996</v>
      </c>
      <c r="D56">
        <v>66029</v>
      </c>
      <c r="E56" s="1"/>
    </row>
    <row r="57" spans="3:5" x14ac:dyDescent="0.35">
      <c r="C57">
        <v>5.3</v>
      </c>
      <c r="D57">
        <v>83088</v>
      </c>
      <c r="E57" s="1"/>
    </row>
    <row r="58" spans="3:5" x14ac:dyDescent="0.35">
      <c r="C58">
        <v>5.9</v>
      </c>
      <c r="D58">
        <v>81363</v>
      </c>
      <c r="E58" s="1"/>
    </row>
    <row r="59" spans="3:5" x14ac:dyDescent="0.35">
      <c r="C59">
        <v>6</v>
      </c>
      <c r="D59">
        <v>93940</v>
      </c>
      <c r="E59" s="1"/>
    </row>
    <row r="60" spans="3:5" x14ac:dyDescent="0.35">
      <c r="E60" s="7"/>
    </row>
    <row r="61" spans="3:5" x14ac:dyDescent="0.35">
      <c r="C61" t="s">
        <v>26</v>
      </c>
      <c r="D61" t="s">
        <v>27</v>
      </c>
      <c r="E61" s="7"/>
    </row>
    <row r="62" spans="3:5" x14ac:dyDescent="0.35">
      <c r="E62" s="7"/>
    </row>
    <row r="63" spans="3:5" x14ac:dyDescent="0.35">
      <c r="C63" s="3">
        <v>6.8</v>
      </c>
      <c r="D63" s="3">
        <v>91738</v>
      </c>
      <c r="E63" s="2"/>
    </row>
    <row r="64" spans="3:5" x14ac:dyDescent="0.35">
      <c r="C64" s="3">
        <v>7.1</v>
      </c>
      <c r="D64" s="3">
        <v>98273</v>
      </c>
      <c r="E64" s="2"/>
    </row>
    <row r="65" spans="3:5" x14ac:dyDescent="0.35">
      <c r="C65" s="3">
        <v>7.9</v>
      </c>
      <c r="D65" s="3">
        <v>101302</v>
      </c>
      <c r="E65" s="2"/>
    </row>
    <row r="66" spans="3:5" x14ac:dyDescent="0.35">
      <c r="C66" s="3">
        <v>8.1999999999999993</v>
      </c>
      <c r="D66" s="3">
        <v>113812</v>
      </c>
      <c r="E66" s="2"/>
    </row>
    <row r="67" spans="3:5" x14ac:dyDescent="0.35">
      <c r="C67" s="3">
        <v>8.6999999999999993</v>
      </c>
      <c r="D67" s="3">
        <v>109431</v>
      </c>
      <c r="E67" s="2"/>
    </row>
    <row r="68" spans="3:5" x14ac:dyDescent="0.35">
      <c r="C68" s="3">
        <v>9</v>
      </c>
      <c r="D68" s="3">
        <v>105582</v>
      </c>
      <c r="E68" s="2"/>
    </row>
    <row r="69" spans="3:5" x14ac:dyDescent="0.35">
      <c r="C69" s="3">
        <v>9.5</v>
      </c>
      <c r="D69" s="3">
        <v>116969</v>
      </c>
      <c r="E69" s="2"/>
    </row>
    <row r="70" spans="3:5" x14ac:dyDescent="0.35">
      <c r="C70" s="3">
        <v>9.6</v>
      </c>
      <c r="D70" s="3">
        <v>112635</v>
      </c>
      <c r="E70" s="2"/>
    </row>
    <row r="71" spans="3:5" x14ac:dyDescent="0.35">
      <c r="C71" s="3">
        <v>10.3</v>
      </c>
      <c r="D71" s="3">
        <v>122391</v>
      </c>
      <c r="E71" s="2"/>
    </row>
    <row r="72" spans="3:5" x14ac:dyDescent="0.35">
      <c r="C72" s="3">
        <v>10.5</v>
      </c>
      <c r="D72" s="3">
        <v>121872</v>
      </c>
      <c r="E72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1767-74B3-491E-B4F2-388D9BA6E5A8}">
  <dimension ref="A1:J39"/>
  <sheetViews>
    <sheetView topLeftCell="A22" workbookViewId="0">
      <selection activeCell="D33" sqref="D33"/>
    </sheetView>
  </sheetViews>
  <sheetFormatPr defaultRowHeight="14.5" x14ac:dyDescent="0.35"/>
  <cols>
    <col min="3" max="3" width="14.54296875" bestFit="1" customWidth="1"/>
    <col min="4" max="4" width="14.54296875" customWidth="1"/>
    <col min="7" max="7" width="18.81640625" customWidth="1"/>
    <col min="8" max="8" width="21.26953125" customWidth="1"/>
  </cols>
  <sheetData>
    <row r="1" spans="1:10" x14ac:dyDescent="0.35">
      <c r="A1" t="s">
        <v>49</v>
      </c>
    </row>
    <row r="2" spans="1:10" ht="15" thickBot="1" x14ac:dyDescent="0.4"/>
    <row r="3" spans="1:10" x14ac:dyDescent="0.35">
      <c r="A3" s="9"/>
      <c r="B3" s="10"/>
      <c r="C3" s="10"/>
      <c r="D3" s="10"/>
      <c r="E3" s="10"/>
      <c r="F3" s="10"/>
      <c r="G3" s="10" t="s">
        <v>37</v>
      </c>
      <c r="H3" s="10"/>
      <c r="I3" s="10"/>
      <c r="J3" s="11"/>
    </row>
    <row r="4" spans="1:10" x14ac:dyDescent="0.35">
      <c r="A4" s="12"/>
      <c r="J4" s="13"/>
    </row>
    <row r="5" spans="1:10" x14ac:dyDescent="0.35">
      <c r="A5" s="12"/>
      <c r="C5" t="s">
        <v>36</v>
      </c>
      <c r="E5" t="s">
        <v>34</v>
      </c>
      <c r="G5" t="s">
        <v>35</v>
      </c>
      <c r="H5" t="s">
        <v>47</v>
      </c>
      <c r="J5" s="13"/>
    </row>
    <row r="6" spans="1:10" x14ac:dyDescent="0.35">
      <c r="A6" s="12"/>
      <c r="C6" t="s">
        <v>0</v>
      </c>
      <c r="E6" t="s">
        <v>1</v>
      </c>
      <c r="G6" s="20" t="s">
        <v>33</v>
      </c>
      <c r="H6" t="s">
        <v>48</v>
      </c>
      <c r="J6" s="13"/>
    </row>
    <row r="7" spans="1:10" x14ac:dyDescent="0.35">
      <c r="A7" s="12"/>
      <c r="J7" s="13"/>
    </row>
    <row r="8" spans="1:10" x14ac:dyDescent="0.35">
      <c r="A8" s="12"/>
      <c r="B8">
        <v>15</v>
      </c>
      <c r="C8">
        <v>4.9000000000000004</v>
      </c>
      <c r="E8">
        <v>67938</v>
      </c>
      <c r="G8" t="s">
        <v>38</v>
      </c>
      <c r="H8">
        <f>(9460.96544077*C8)+26499.15318611</f>
        <v>72857.883845883014</v>
      </c>
      <c r="J8" s="13"/>
    </row>
    <row r="9" spans="1:10" x14ac:dyDescent="0.35">
      <c r="A9" s="12"/>
      <c r="B9">
        <v>5</v>
      </c>
      <c r="C9">
        <v>2.9</v>
      </c>
      <c r="E9">
        <v>56642</v>
      </c>
      <c r="G9" t="s">
        <v>39</v>
      </c>
      <c r="H9">
        <f t="shared" ref="H9:H17" si="0">(9460.96544077*C9)+26499.15318611</f>
        <v>53935.952964343</v>
      </c>
      <c r="J9" s="13"/>
    </row>
    <row r="10" spans="1:10" x14ac:dyDescent="0.35">
      <c r="A10" s="12"/>
      <c r="B10">
        <v>22</v>
      </c>
      <c r="C10">
        <v>7.9</v>
      </c>
      <c r="E10">
        <v>101302</v>
      </c>
      <c r="G10" t="s">
        <v>40</v>
      </c>
      <c r="H10">
        <f t="shared" si="0"/>
        <v>101240.78016819301</v>
      </c>
      <c r="J10" s="13"/>
    </row>
    <row r="11" spans="1:10" x14ac:dyDescent="0.35">
      <c r="A11" s="12"/>
      <c r="B11">
        <v>26</v>
      </c>
      <c r="C11">
        <v>9.5</v>
      </c>
      <c r="E11">
        <v>116969</v>
      </c>
      <c r="G11" t="s">
        <v>41</v>
      </c>
      <c r="H11">
        <f t="shared" si="0"/>
        <v>116378.32487342501</v>
      </c>
      <c r="J11" s="13"/>
    </row>
    <row r="12" spans="1:10" x14ac:dyDescent="0.35">
      <c r="A12" s="12"/>
      <c r="B12">
        <v>18</v>
      </c>
      <c r="C12">
        <v>5.9</v>
      </c>
      <c r="E12">
        <v>81363</v>
      </c>
      <c r="G12" t="s">
        <v>42</v>
      </c>
      <c r="H12">
        <f t="shared" si="0"/>
        <v>82318.849286653014</v>
      </c>
      <c r="J12" s="13"/>
    </row>
    <row r="13" spans="1:10" x14ac:dyDescent="0.35">
      <c r="A13" s="12"/>
      <c r="B13">
        <v>14</v>
      </c>
      <c r="C13">
        <v>4.5</v>
      </c>
      <c r="E13">
        <v>61111</v>
      </c>
      <c r="G13" t="s">
        <v>43</v>
      </c>
      <c r="H13">
        <f t="shared" si="0"/>
        <v>69073.497669575008</v>
      </c>
      <c r="J13" s="13"/>
    </row>
    <row r="14" spans="1:10" x14ac:dyDescent="0.35">
      <c r="A14" s="12"/>
      <c r="B14">
        <v>13</v>
      </c>
      <c r="C14">
        <v>4.0999999999999996</v>
      </c>
      <c r="E14">
        <v>57081</v>
      </c>
      <c r="G14" t="s">
        <v>44</v>
      </c>
      <c r="H14">
        <f t="shared" si="0"/>
        <v>65289.111493266995</v>
      </c>
      <c r="J14" s="13"/>
    </row>
    <row r="15" spans="1:10" x14ac:dyDescent="0.35">
      <c r="A15" s="12"/>
      <c r="B15">
        <v>2</v>
      </c>
      <c r="C15">
        <v>1.5</v>
      </c>
      <c r="E15">
        <v>37731</v>
      </c>
      <c r="G15" t="s">
        <v>45</v>
      </c>
      <c r="H15">
        <f t="shared" si="0"/>
        <v>40690.601347265001</v>
      </c>
      <c r="J15" s="13"/>
    </row>
    <row r="16" spans="1:10" x14ac:dyDescent="0.35">
      <c r="A16" s="12"/>
      <c r="B16">
        <v>16</v>
      </c>
      <c r="C16">
        <v>5.0999999999999996</v>
      </c>
      <c r="E16">
        <v>66029</v>
      </c>
      <c r="G16" t="s">
        <v>46</v>
      </c>
      <c r="H16">
        <f t="shared" si="0"/>
        <v>74750.076934037003</v>
      </c>
      <c r="J16" s="13"/>
    </row>
    <row r="17" spans="1:10" x14ac:dyDescent="0.35">
      <c r="A17" s="12"/>
      <c r="B17">
        <v>1</v>
      </c>
      <c r="C17">
        <v>1.3</v>
      </c>
      <c r="E17">
        <v>46205</v>
      </c>
      <c r="G17">
        <v>38798.408259110001</v>
      </c>
      <c r="H17">
        <f t="shared" si="0"/>
        <v>38798.408259111005</v>
      </c>
      <c r="J17" s="13"/>
    </row>
    <row r="18" spans="1:10" ht="15" thickBot="1" x14ac:dyDescent="0.4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22" spans="1:10" x14ac:dyDescent="0.35">
      <c r="A22" t="s">
        <v>50</v>
      </c>
    </row>
    <row r="23" spans="1:10" ht="15" thickBot="1" x14ac:dyDescent="0.4"/>
    <row r="24" spans="1:10" x14ac:dyDescent="0.35">
      <c r="A24" s="9"/>
      <c r="B24" s="10"/>
      <c r="C24" s="10"/>
      <c r="D24" s="10"/>
      <c r="E24" s="10"/>
      <c r="F24" s="10"/>
      <c r="G24" s="10" t="s">
        <v>57</v>
      </c>
      <c r="H24" s="10"/>
      <c r="I24" s="10"/>
      <c r="J24" s="11"/>
    </row>
    <row r="25" spans="1:10" x14ac:dyDescent="0.35">
      <c r="A25" s="12"/>
      <c r="J25" s="13"/>
    </row>
    <row r="26" spans="1:10" x14ac:dyDescent="0.35">
      <c r="A26" s="12"/>
      <c r="C26" t="s">
        <v>36</v>
      </c>
      <c r="E26" t="s">
        <v>34</v>
      </c>
      <c r="G26" t="s">
        <v>35</v>
      </c>
      <c r="H26" t="s">
        <v>47</v>
      </c>
      <c r="J26" s="13"/>
    </row>
    <row r="27" spans="1:10" x14ac:dyDescent="0.35">
      <c r="A27" s="12"/>
      <c r="C27" t="s">
        <v>0</v>
      </c>
      <c r="E27" t="s">
        <v>1</v>
      </c>
      <c r="G27" s="20" t="s">
        <v>33</v>
      </c>
      <c r="H27" t="s">
        <v>48</v>
      </c>
      <c r="J27" s="13"/>
    </row>
    <row r="28" spans="1:10" x14ac:dyDescent="0.35">
      <c r="A28" s="12"/>
      <c r="J28" s="13"/>
    </row>
    <row r="29" spans="1:10" x14ac:dyDescent="0.35">
      <c r="A29" s="12"/>
      <c r="B29">
        <v>23</v>
      </c>
      <c r="C29">
        <v>8.1999999999999993</v>
      </c>
      <c r="D29" s="8">
        <v>23</v>
      </c>
      <c r="E29">
        <v>113812</v>
      </c>
      <c r="G29" t="s">
        <v>30</v>
      </c>
      <c r="H29">
        <f>(9152.98777019*C29)+27751.6331058</f>
        <v>102806.13282135798</v>
      </c>
      <c r="J29" s="13"/>
    </row>
    <row r="30" spans="1:10" x14ac:dyDescent="0.35">
      <c r="A30" s="12"/>
      <c r="B30">
        <v>24</v>
      </c>
      <c r="C30">
        <v>8.6999999999999993</v>
      </c>
      <c r="D30" s="8">
        <v>24</v>
      </c>
      <c r="E30">
        <v>109431</v>
      </c>
      <c r="G30" t="s">
        <v>31</v>
      </c>
      <c r="H30">
        <f t="shared" ref="H30:H38" si="1">(9460.96544077*C30)+26499.15318611</f>
        <v>108809.552520809</v>
      </c>
      <c r="J30" s="13"/>
    </row>
    <row r="31" spans="1:10" x14ac:dyDescent="0.35">
      <c r="A31" s="12"/>
      <c r="B31">
        <v>16</v>
      </c>
      <c r="C31">
        <v>5.0999999999999996</v>
      </c>
      <c r="D31" s="8">
        <v>16</v>
      </c>
      <c r="E31">
        <v>66029</v>
      </c>
      <c r="G31" t="s">
        <v>51</v>
      </c>
      <c r="H31">
        <f t="shared" si="1"/>
        <v>74750.076934037003</v>
      </c>
      <c r="J31" s="13"/>
    </row>
    <row r="32" spans="1:10" x14ac:dyDescent="0.35">
      <c r="A32" s="12"/>
      <c r="B32">
        <v>12</v>
      </c>
      <c r="C32">
        <v>4</v>
      </c>
      <c r="D32" s="8">
        <v>12</v>
      </c>
      <c r="E32">
        <v>56957</v>
      </c>
      <c r="G32" t="s">
        <v>52</v>
      </c>
      <c r="H32">
        <f t="shared" si="1"/>
        <v>64343.014949190001</v>
      </c>
      <c r="J32" s="13"/>
    </row>
    <row r="33" spans="1:10" x14ac:dyDescent="0.35">
      <c r="A33" s="12"/>
      <c r="B33">
        <v>21</v>
      </c>
      <c r="C33">
        <v>7.1</v>
      </c>
      <c r="D33" s="8">
        <v>21</v>
      </c>
      <c r="E33">
        <v>98273</v>
      </c>
      <c r="G33" t="s">
        <v>53</v>
      </c>
      <c r="H33">
        <f t="shared" si="1"/>
        <v>93672.007815577002</v>
      </c>
      <c r="J33" s="13"/>
    </row>
    <row r="34" spans="1:10" x14ac:dyDescent="0.35">
      <c r="A34" s="12"/>
      <c r="B34">
        <v>27</v>
      </c>
      <c r="C34">
        <v>9.6</v>
      </c>
      <c r="D34" s="8">
        <v>27</v>
      </c>
      <c r="E34">
        <v>112635</v>
      </c>
      <c r="G34" t="s">
        <v>32</v>
      </c>
      <c r="H34">
        <f t="shared" si="1"/>
        <v>117324.42141750199</v>
      </c>
      <c r="J34" s="13"/>
    </row>
    <row r="35" spans="1:10" x14ac:dyDescent="0.35">
      <c r="A35" s="12"/>
      <c r="B35">
        <v>10</v>
      </c>
      <c r="C35">
        <v>3.9</v>
      </c>
      <c r="D35" s="8">
        <v>10</v>
      </c>
      <c r="E35">
        <v>63218</v>
      </c>
      <c r="G35" t="s">
        <v>54</v>
      </c>
      <c r="H35">
        <f t="shared" si="1"/>
        <v>63396.918405113</v>
      </c>
      <c r="J35" s="13"/>
    </row>
    <row r="36" spans="1:10" x14ac:dyDescent="0.35">
      <c r="A36" s="12"/>
      <c r="B36">
        <v>15</v>
      </c>
      <c r="C36">
        <v>4.9000000000000004</v>
      </c>
      <c r="D36" s="8">
        <v>15</v>
      </c>
      <c r="E36">
        <v>67938</v>
      </c>
      <c r="G36" t="s">
        <v>55</v>
      </c>
      <c r="H36">
        <f t="shared" si="1"/>
        <v>72857.883845883014</v>
      </c>
      <c r="J36" s="13"/>
    </row>
    <row r="37" spans="1:10" x14ac:dyDescent="0.35">
      <c r="A37" s="12"/>
      <c r="B37">
        <v>2</v>
      </c>
      <c r="C37">
        <v>1.5</v>
      </c>
      <c r="D37" s="8">
        <v>2</v>
      </c>
      <c r="E37">
        <v>37731</v>
      </c>
      <c r="G37" t="s">
        <v>56</v>
      </c>
      <c r="H37">
        <f t="shared" si="1"/>
        <v>40690.601347265001</v>
      </c>
      <c r="J37" s="13"/>
    </row>
    <row r="38" spans="1:10" x14ac:dyDescent="0.35">
      <c r="A38" s="12"/>
      <c r="B38">
        <v>7</v>
      </c>
      <c r="C38">
        <v>3.2</v>
      </c>
      <c r="D38" s="8">
        <v>7</v>
      </c>
      <c r="E38">
        <v>54445</v>
      </c>
      <c r="G38">
        <v>57041.193970419998</v>
      </c>
      <c r="H38">
        <f t="shared" si="1"/>
        <v>56774.242596574004</v>
      </c>
      <c r="J38" s="13"/>
    </row>
    <row r="39" spans="1:10" ht="15" thickBot="1" x14ac:dyDescent="0.4">
      <c r="A39" s="21"/>
      <c r="B39" s="22"/>
      <c r="C39" s="22"/>
      <c r="D39" s="22"/>
      <c r="E39" s="22"/>
      <c r="F39" s="22"/>
      <c r="G39" s="22"/>
      <c r="H39" s="22"/>
      <c r="I39" s="22"/>
      <c r="J39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orginalSalaryData</vt:lpstr>
      <vt:lpstr>TrainTestsalaryData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Nair</dc:creator>
  <cp:lastModifiedBy>Arun kumar Nair</cp:lastModifiedBy>
  <dcterms:created xsi:type="dcterms:W3CDTF">2020-02-01T14:44:06Z</dcterms:created>
  <dcterms:modified xsi:type="dcterms:W3CDTF">2024-11-14T09:24:16Z</dcterms:modified>
</cp:coreProperties>
</file>